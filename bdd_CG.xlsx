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1000411088\Documents\Outil collaboratif\GRAND COMPTE\"/>
    </mc:Choice>
  </mc:AlternateContent>
  <xr:revisionPtr revIDLastSave="0" documentId="8_{19827517-D141-4178-A43B-0C14B83D8551}" xr6:coauthVersionLast="47" xr6:coauthVersionMax="47" xr10:uidLastSave="{00000000-0000-0000-0000-000000000000}"/>
  <bookViews>
    <workbookView xWindow="-120" yWindow="-120" windowWidth="29040" windowHeight="15720" tabRatio="825" activeTab="7" xr2:uid="{00000000-000D-0000-FFFF-FFFF00000000}"/>
  </bookViews>
  <sheets>
    <sheet name="FS_referentiel_produits_std_Hon" sheetId="14" r:id="rId1"/>
    <sheet name="FS_referentiel_produits_std_Ver" sheetId="33" r:id="rId2"/>
    <sheet name="CABINES" sheetId="26" r:id="rId3"/>
    <sheet name="MOTEURS" sheetId="27" r:id="rId4"/>
    <sheet name="CHASSIS" sheetId="28" r:id="rId5"/>
    <sheet name="CAISSES" sheetId="29" r:id="rId6"/>
    <sheet name="FRIGO" sheetId="30" r:id="rId7"/>
    <sheet name="HAYONS" sheetId="31" r:id="rId8"/>
    <sheet name="Energie Alter" sheetId="19" state="hidden" r:id="rId9"/>
    <sheet name="Synth NCEE" sheetId="23" state="hidden" r:id="rId10"/>
  </sheets>
  <externalReferences>
    <externalReference r:id="rId11"/>
  </externalReferences>
  <definedNames>
    <definedName name="_xlnm._FilterDatabase" localSheetId="2" hidden="1">CABINES!$A$1:$AT$10</definedName>
    <definedName name="_xlnm._FilterDatabase" localSheetId="5" hidden="1">CAISSES!$A$1:$BB$4</definedName>
    <definedName name="_xlnm._FilterDatabase" localSheetId="4" hidden="1">CHASSIS!$A$1:$AR$4</definedName>
    <definedName name="_xlnm._FilterDatabase" localSheetId="8" hidden="1">'Energie Alter'!$A$1:$FW$58</definedName>
    <definedName name="_xlnm._FilterDatabase" localSheetId="6" hidden="1">FRIGO!$A$1:$AH$5</definedName>
    <definedName name="_xlnm._FilterDatabase" localSheetId="0" hidden="1">FS_referentiel_produits_std_Hon!$A$1:$BM$12</definedName>
    <definedName name="_xlnm._FilterDatabase" localSheetId="1" hidden="1">FS_referentiel_produits_std_Ver!$A$1:$BS$7</definedName>
    <definedName name="_xlnm._FilterDatabase" localSheetId="7" hidden="1">HAYONS!$A$1:$AG$3</definedName>
    <definedName name="_xlnm._FilterDatabase" localSheetId="3" hidden="1">MOTEURS!$A$1:$AL$10</definedName>
    <definedName name="_xlnm.Print_Area" localSheetId="0">FS_referentiel_produits_std_Hon!#REF!</definedName>
    <definedName name="_xlnm.Print_Area" localSheetId="1">FS_referentiel_produits_std_Ver!#REF!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T7" i="33" l="1"/>
  <c r="BT6" i="33"/>
  <c r="BT5" i="33"/>
  <c r="BN11" i="14" l="1"/>
  <c r="BN9" i="14"/>
  <c r="BN8" i="14" l="1"/>
  <c r="CC58" i="19" l="1"/>
  <c r="BY58" i="19"/>
  <c r="BX58" i="19"/>
  <c r="BU58" i="19"/>
  <c r="BT58" i="19"/>
  <c r="BS58" i="19"/>
  <c r="BR58" i="19"/>
  <c r="BQ58" i="19"/>
  <c r="BP58" i="19"/>
  <c r="CC57" i="19"/>
  <c r="BY57" i="19"/>
  <c r="BX57" i="19"/>
  <c r="BU57" i="19"/>
  <c r="BT57" i="19"/>
  <c r="BS57" i="19"/>
  <c r="BR57" i="19"/>
  <c r="BQ57" i="19"/>
  <c r="BP57" i="19"/>
  <c r="CC56" i="19"/>
  <c r="BY56" i="19"/>
  <c r="BX56" i="19"/>
  <c r="BU56" i="19"/>
  <c r="BT56" i="19"/>
  <c r="BS56" i="19"/>
  <c r="BR56" i="19"/>
  <c r="BQ56" i="19"/>
  <c r="BP56" i="19"/>
  <c r="CC55" i="19"/>
  <c r="BY55" i="19"/>
  <c r="BX55" i="19"/>
  <c r="BU55" i="19"/>
  <c r="BT55" i="19"/>
  <c r="BS55" i="19"/>
  <c r="BR55" i="19"/>
  <c r="BQ55" i="19"/>
  <c r="BP55" i="19"/>
  <c r="CC54" i="19"/>
  <c r="BY54" i="19"/>
  <c r="BX54" i="19"/>
  <c r="BU54" i="19"/>
  <c r="BT54" i="19"/>
  <c r="BS54" i="19"/>
  <c r="BR54" i="19"/>
  <c r="BQ54" i="19"/>
  <c r="BP54" i="19"/>
  <c r="CC53" i="19"/>
  <c r="BY53" i="19"/>
  <c r="BX53" i="19"/>
  <c r="BU53" i="19"/>
  <c r="BT53" i="19"/>
  <c r="BS53" i="19"/>
  <c r="BR53" i="19"/>
  <c r="BQ53" i="19"/>
  <c r="BP53" i="19"/>
  <c r="CC52" i="19"/>
  <c r="BY52" i="19"/>
  <c r="BX52" i="19"/>
  <c r="BU52" i="19"/>
  <c r="BT52" i="19"/>
  <c r="BS52" i="19"/>
  <c r="BR52" i="19"/>
  <c r="BQ52" i="19"/>
  <c r="BP52" i="19"/>
  <c r="CC51" i="19"/>
  <c r="BY51" i="19"/>
  <c r="BX51" i="19"/>
  <c r="BU51" i="19"/>
  <c r="BT51" i="19"/>
  <c r="BS51" i="19"/>
  <c r="BR51" i="19"/>
  <c r="BQ51" i="19"/>
  <c r="BP51" i="19"/>
  <c r="CC50" i="19"/>
  <c r="BY50" i="19"/>
  <c r="BX50" i="19"/>
  <c r="BU50" i="19"/>
  <c r="BT50" i="19"/>
  <c r="BS50" i="19"/>
  <c r="BR50" i="19"/>
  <c r="BQ50" i="19"/>
  <c r="BP50" i="19"/>
  <c r="CC49" i="19"/>
  <c r="BY49" i="19"/>
  <c r="BX49" i="19"/>
  <c r="BU49" i="19"/>
  <c r="BT49" i="19"/>
  <c r="BS49" i="19"/>
  <c r="BR49" i="19"/>
  <c r="BQ49" i="19"/>
  <c r="BP49" i="19"/>
  <c r="CC48" i="19"/>
  <c r="BY48" i="19"/>
  <c r="BX48" i="19"/>
  <c r="BU48" i="19"/>
  <c r="BT48" i="19"/>
  <c r="BS48" i="19"/>
  <c r="BR48" i="19"/>
  <c r="BQ48" i="19"/>
  <c r="BP48" i="19"/>
  <c r="CC47" i="19"/>
  <c r="BY47" i="19"/>
  <c r="BX47" i="19"/>
  <c r="BU47" i="19"/>
  <c r="BT47" i="19"/>
  <c r="BS47" i="19"/>
  <c r="BR47" i="19"/>
  <c r="BQ47" i="19"/>
  <c r="BP47" i="19"/>
  <c r="CC46" i="19"/>
  <c r="BY46" i="19"/>
  <c r="BX46" i="19"/>
  <c r="BU46" i="19"/>
  <c r="BT46" i="19"/>
  <c r="BS46" i="19"/>
  <c r="BR46" i="19"/>
  <c r="BQ46" i="19"/>
  <c r="BP46" i="19"/>
  <c r="CC45" i="19"/>
  <c r="BY45" i="19"/>
  <c r="BX45" i="19"/>
  <c r="BU45" i="19"/>
  <c r="BT45" i="19"/>
  <c r="BS45" i="19"/>
  <c r="BR45" i="19"/>
  <c r="BQ45" i="19"/>
  <c r="BP45" i="19"/>
  <c r="BL45" i="19"/>
  <c r="CC44" i="19"/>
  <c r="BY44" i="19"/>
  <c r="BX44" i="19"/>
  <c r="BU44" i="19"/>
  <c r="BT44" i="19"/>
  <c r="BS44" i="19"/>
  <c r="BR44" i="19"/>
  <c r="BQ44" i="19"/>
  <c r="BP44" i="19"/>
  <c r="CC43" i="19"/>
  <c r="BY43" i="19"/>
  <c r="BX43" i="19"/>
  <c r="BU43" i="19"/>
  <c r="BT43" i="19"/>
  <c r="BS43" i="19"/>
  <c r="BR43" i="19"/>
  <c r="BQ43" i="19"/>
  <c r="BP43" i="19"/>
  <c r="CC42" i="19"/>
  <c r="BY42" i="19"/>
  <c r="BX42" i="19"/>
  <c r="BU42" i="19"/>
  <c r="BT42" i="19"/>
  <c r="BS42" i="19"/>
  <c r="BR42" i="19"/>
  <c r="BQ42" i="19"/>
  <c r="BP42" i="19"/>
  <c r="CC41" i="19"/>
  <c r="BY41" i="19"/>
  <c r="BX41" i="19"/>
  <c r="BU41" i="19"/>
  <c r="BT41" i="19"/>
  <c r="BS41" i="19"/>
  <c r="BR41" i="19"/>
  <c r="BQ41" i="19"/>
  <c r="BP41" i="19"/>
  <c r="CC40" i="19"/>
  <c r="BY40" i="19"/>
  <c r="BX40" i="19"/>
  <c r="BU40" i="19"/>
  <c r="BT40" i="19"/>
  <c r="BS40" i="19"/>
  <c r="BR40" i="19"/>
  <c r="BQ40" i="19"/>
  <c r="BP40" i="19"/>
  <c r="CC39" i="19"/>
  <c r="BY39" i="19"/>
  <c r="BX39" i="19"/>
  <c r="BU39" i="19"/>
  <c r="BT39" i="19"/>
  <c r="BS39" i="19"/>
  <c r="BR39" i="19"/>
  <c r="BQ39" i="19"/>
  <c r="BP39" i="19"/>
  <c r="CC38" i="19"/>
  <c r="BY38" i="19"/>
  <c r="BX38" i="19"/>
  <c r="BU38" i="19"/>
  <c r="BT38" i="19"/>
  <c r="BS38" i="19"/>
  <c r="BR38" i="19"/>
  <c r="BQ38" i="19"/>
  <c r="BP38" i="19"/>
  <c r="CC37" i="19"/>
  <c r="BY37" i="19"/>
  <c r="BX37" i="19"/>
  <c r="BU37" i="19"/>
  <c r="BT37" i="19"/>
  <c r="BS37" i="19"/>
  <c r="BR37" i="19"/>
  <c r="BQ37" i="19"/>
  <c r="BP37" i="19"/>
  <c r="BL37" i="19"/>
  <c r="CC36" i="19"/>
  <c r="BY36" i="19"/>
  <c r="BX36" i="19"/>
  <c r="BU36" i="19"/>
  <c r="BT36" i="19"/>
  <c r="BS36" i="19"/>
  <c r="BR36" i="19"/>
  <c r="BQ36" i="19"/>
  <c r="BP36" i="19"/>
  <c r="CC35" i="19"/>
  <c r="BY35" i="19"/>
  <c r="BX35" i="19"/>
  <c r="BU35" i="19"/>
  <c r="BT35" i="19"/>
  <c r="BS35" i="19"/>
  <c r="BR35" i="19"/>
  <c r="BQ35" i="19"/>
  <c r="BP35" i="19"/>
  <c r="CC34" i="19"/>
  <c r="BY34" i="19"/>
  <c r="BX34" i="19"/>
  <c r="BU34" i="19"/>
  <c r="BT34" i="19"/>
  <c r="BS34" i="19"/>
  <c r="BR34" i="19"/>
  <c r="BQ34" i="19"/>
  <c r="BP34" i="19"/>
  <c r="CC33" i="19"/>
  <c r="BY33" i="19"/>
  <c r="BX33" i="19"/>
  <c r="BU33" i="19"/>
  <c r="BT33" i="19"/>
  <c r="BS33" i="19"/>
  <c r="BR33" i="19"/>
  <c r="BQ33" i="19"/>
  <c r="BP33" i="19"/>
  <c r="CC32" i="19"/>
  <c r="BY32" i="19"/>
  <c r="BX32" i="19"/>
  <c r="BU32" i="19"/>
  <c r="BT32" i="19"/>
  <c r="BS32" i="19"/>
  <c r="BR32" i="19"/>
  <c r="BQ32" i="19"/>
  <c r="BP32" i="19"/>
  <c r="CC31" i="19"/>
  <c r="BY31" i="19"/>
  <c r="BX31" i="19"/>
  <c r="BU31" i="19"/>
  <c r="BT31" i="19"/>
  <c r="BS31" i="19"/>
  <c r="BR31" i="19"/>
  <c r="BQ31" i="19"/>
  <c r="BP31" i="19"/>
  <c r="CC30" i="19"/>
  <c r="BY30" i="19"/>
  <c r="BX30" i="19"/>
  <c r="BU30" i="19"/>
  <c r="BT30" i="19"/>
  <c r="BS30" i="19"/>
  <c r="BR30" i="19"/>
  <c r="BQ30" i="19"/>
  <c r="BP30" i="19"/>
  <c r="CC29" i="19"/>
  <c r="BY29" i="19"/>
  <c r="BX29" i="19"/>
  <c r="BU29" i="19"/>
  <c r="BT29" i="19"/>
  <c r="BS29" i="19"/>
  <c r="BR29" i="19"/>
  <c r="BQ29" i="19"/>
  <c r="BP29" i="19"/>
  <c r="CC28" i="19"/>
  <c r="BY28" i="19"/>
  <c r="BX28" i="19"/>
  <c r="BU28" i="19"/>
  <c r="BT28" i="19"/>
  <c r="BS28" i="19"/>
  <c r="BR28" i="19"/>
  <c r="BQ28" i="19"/>
  <c r="BP28" i="19"/>
  <c r="CC27" i="19"/>
  <c r="BY27" i="19"/>
  <c r="BX27" i="19"/>
  <c r="BU27" i="19"/>
  <c r="BT27" i="19"/>
  <c r="BS27" i="19"/>
  <c r="BR27" i="19"/>
  <c r="BQ27" i="19"/>
  <c r="BP27" i="19"/>
  <c r="CC26" i="19"/>
  <c r="BY26" i="19"/>
  <c r="BX26" i="19"/>
  <c r="BU26" i="19"/>
  <c r="BT26" i="19"/>
  <c r="BS26" i="19"/>
  <c r="BR26" i="19"/>
  <c r="BQ26" i="19"/>
  <c r="BP26" i="19"/>
  <c r="CC25" i="19"/>
  <c r="BY25" i="19"/>
  <c r="BX25" i="19"/>
  <c r="BU25" i="19"/>
  <c r="BT25" i="19"/>
  <c r="BS25" i="19"/>
  <c r="BR25" i="19"/>
  <c r="BQ25" i="19"/>
  <c r="BP25" i="19"/>
  <c r="CC24" i="19"/>
  <c r="BY24" i="19"/>
  <c r="BX24" i="19"/>
  <c r="BU24" i="19"/>
  <c r="BT24" i="19"/>
  <c r="BS24" i="19"/>
  <c r="BR24" i="19"/>
  <c r="BQ24" i="19"/>
  <c r="BP24" i="19"/>
  <c r="CC23" i="19"/>
  <c r="BY23" i="19"/>
  <c r="BX23" i="19"/>
  <c r="BU23" i="19"/>
  <c r="BT23" i="19"/>
  <c r="BS23" i="19"/>
  <c r="BR23" i="19"/>
  <c r="BQ23" i="19"/>
  <c r="BP23" i="19"/>
  <c r="CC22" i="19"/>
  <c r="BY22" i="19"/>
  <c r="BX22" i="19"/>
  <c r="BU22" i="19"/>
  <c r="BT22" i="19"/>
  <c r="BS22" i="19"/>
  <c r="BR22" i="19"/>
  <c r="BQ22" i="19"/>
  <c r="BP22" i="19"/>
  <c r="CC21" i="19"/>
  <c r="BY21" i="19"/>
  <c r="BX21" i="19"/>
  <c r="BU21" i="19"/>
  <c r="BT21" i="19"/>
  <c r="BS21" i="19"/>
  <c r="BR21" i="19"/>
  <c r="BQ21" i="19"/>
  <c r="BP21" i="19"/>
  <c r="CC20" i="19"/>
  <c r="BY20" i="19"/>
  <c r="BX20" i="19"/>
  <c r="BU20" i="19"/>
  <c r="BT20" i="19"/>
  <c r="BS20" i="19"/>
  <c r="BR20" i="19"/>
  <c r="BQ20" i="19"/>
  <c r="BP20" i="19"/>
  <c r="CC19" i="19"/>
  <c r="BY19" i="19"/>
  <c r="BX19" i="19"/>
  <c r="BU19" i="19"/>
  <c r="BT19" i="19"/>
  <c r="BS19" i="19"/>
  <c r="BR19" i="19"/>
  <c r="BQ19" i="19"/>
  <c r="BP19" i="19"/>
  <c r="CC18" i="19"/>
  <c r="BY18" i="19"/>
  <c r="BX18" i="19"/>
  <c r="BU18" i="19"/>
  <c r="BT18" i="19"/>
  <c r="BS18" i="19"/>
  <c r="BR18" i="19"/>
  <c r="BQ18" i="19"/>
  <c r="BP18" i="19"/>
  <c r="CC17" i="19"/>
  <c r="BY17" i="19"/>
  <c r="BX17" i="19"/>
  <c r="BU17" i="19"/>
  <c r="BT17" i="19"/>
  <c r="BS17" i="19"/>
  <c r="BR17" i="19"/>
  <c r="BQ17" i="19"/>
  <c r="BP17" i="19"/>
  <c r="CC16" i="19"/>
  <c r="BY16" i="19"/>
  <c r="BX16" i="19"/>
  <c r="BU16" i="19"/>
  <c r="BT16" i="19"/>
  <c r="BS16" i="19"/>
  <c r="BR16" i="19"/>
  <c r="BQ16" i="19"/>
  <c r="BP16" i="19"/>
  <c r="CC15" i="19"/>
  <c r="BY15" i="19"/>
  <c r="BX15" i="19"/>
  <c r="BU15" i="19"/>
  <c r="BT15" i="19"/>
  <c r="BS15" i="19"/>
  <c r="BR15" i="19"/>
  <c r="BQ15" i="19"/>
  <c r="BP15" i="19"/>
  <c r="CC14" i="19"/>
  <c r="BY14" i="19"/>
  <c r="BX14" i="19"/>
  <c r="BU14" i="19"/>
  <c r="BT14" i="19"/>
  <c r="BS14" i="19"/>
  <c r="BR14" i="19"/>
  <c r="BQ14" i="19"/>
  <c r="BP14" i="19"/>
  <c r="CC13" i="19"/>
  <c r="BY13" i="19"/>
  <c r="BX13" i="19"/>
  <c r="BU13" i="19"/>
  <c r="BT13" i="19"/>
  <c r="BS13" i="19"/>
  <c r="BR13" i="19"/>
  <c r="BQ13" i="19"/>
  <c r="BP13" i="19"/>
  <c r="CC12" i="19"/>
  <c r="BY12" i="19"/>
  <c r="BX12" i="19"/>
  <c r="BU12" i="19"/>
  <c r="BT12" i="19"/>
  <c r="BS12" i="19"/>
  <c r="BR12" i="19"/>
  <c r="BQ12" i="19"/>
  <c r="BP12" i="19"/>
  <c r="CC11" i="19"/>
  <c r="BY11" i="19"/>
  <c r="BX11" i="19"/>
  <c r="BU11" i="19"/>
  <c r="BT11" i="19"/>
  <c r="BS11" i="19"/>
  <c r="BR11" i="19"/>
  <c r="BQ11" i="19"/>
  <c r="BP11" i="19"/>
  <c r="CC10" i="19"/>
  <c r="BY10" i="19"/>
  <c r="BX10" i="19"/>
  <c r="BU10" i="19"/>
  <c r="BT10" i="19"/>
  <c r="BS10" i="19"/>
  <c r="BR10" i="19"/>
  <c r="BQ10" i="19"/>
  <c r="BP10" i="19"/>
  <c r="CC9" i="19"/>
  <c r="BY9" i="19"/>
  <c r="BX9" i="19"/>
  <c r="BU9" i="19"/>
  <c r="BT9" i="19"/>
  <c r="BS9" i="19"/>
  <c r="BR9" i="19"/>
  <c r="BQ9" i="19"/>
  <c r="BP9" i="19"/>
  <c r="CC8" i="19"/>
  <c r="BY8" i="19"/>
  <c r="BX8" i="19"/>
  <c r="BU8" i="19"/>
  <c r="BT8" i="19"/>
  <c r="BS8" i="19"/>
  <c r="BR8" i="19"/>
  <c r="BQ8" i="19"/>
  <c r="BP8" i="19"/>
  <c r="CC7" i="19"/>
  <c r="BY7" i="19"/>
  <c r="BX7" i="19"/>
  <c r="BU7" i="19"/>
  <c r="BT7" i="19"/>
  <c r="BS7" i="19"/>
  <c r="BR7" i="19"/>
  <c r="BQ7" i="19"/>
  <c r="BP7" i="19"/>
  <c r="CC6" i="19"/>
  <c r="BY6" i="19"/>
  <c r="BX6" i="19"/>
  <c r="BU6" i="19"/>
  <c r="BT6" i="19"/>
  <c r="BS6" i="19"/>
  <c r="BR6" i="19"/>
  <c r="BQ6" i="19"/>
  <c r="BP6" i="19"/>
  <c r="CC5" i="19"/>
  <c r="BY5" i="19"/>
  <c r="BX5" i="19"/>
  <c r="BU5" i="19"/>
  <c r="BT5" i="19"/>
  <c r="BS5" i="19"/>
  <c r="BR5" i="19"/>
  <c r="BQ5" i="19"/>
  <c r="BP5" i="19"/>
  <c r="CC4" i="19"/>
  <c r="BY4" i="19"/>
  <c r="BX4" i="19"/>
  <c r="BU4" i="19"/>
  <c r="BT4" i="19"/>
  <c r="BS4" i="19"/>
  <c r="BR4" i="19"/>
  <c r="BQ4" i="19"/>
  <c r="BP4" i="19"/>
  <c r="CC3" i="19"/>
  <c r="BY3" i="19"/>
  <c r="BX3" i="19"/>
  <c r="BU3" i="19"/>
  <c r="BT3" i="19"/>
  <c r="BS3" i="19"/>
  <c r="BR3" i="19"/>
  <c r="BQ3" i="19"/>
  <c r="BP3" i="19"/>
  <c r="CC2" i="19"/>
  <c r="BY2" i="19"/>
  <c r="BX2" i="19"/>
  <c r="BU2" i="19"/>
  <c r="BT2" i="19"/>
  <c r="BS2" i="19"/>
  <c r="BR2" i="19"/>
  <c r="BQ2" i="19"/>
  <c r="BP2" i="19"/>
  <c r="BL15" i="19" l="1"/>
  <c r="BL17" i="19"/>
  <c r="BL35" i="19"/>
  <c r="BL41" i="19"/>
  <c r="BL43" i="19"/>
  <c r="BL48" i="19"/>
  <c r="BL4" i="19"/>
  <c r="BL28" i="19"/>
  <c r="BL36" i="19"/>
  <c r="BL38" i="19"/>
  <c r="BL44" i="19"/>
  <c r="BL10" i="19"/>
  <c r="BL18" i="19"/>
  <c r="BL26" i="19"/>
  <c r="BL56" i="19"/>
  <c r="BL14" i="19"/>
  <c r="BL16" i="19"/>
  <c r="BL25" i="19"/>
  <c r="BL20" i="19"/>
  <c r="BL52" i="19"/>
  <c r="BL50" i="19"/>
  <c r="BL21" i="19"/>
  <c r="BL11" i="19"/>
  <c r="BL2" i="19"/>
  <c r="BL6" i="19"/>
  <c r="BL7" i="19"/>
  <c r="BL8" i="19"/>
  <c r="BL22" i="19"/>
  <c r="BL30" i="19"/>
  <c r="BL27" i="19"/>
  <c r="BL58" i="19"/>
  <c r="BL19" i="19"/>
  <c r="BL31" i="19"/>
  <c r="BL5" i="19"/>
  <c r="BL13" i="19"/>
  <c r="BL29" i="19"/>
  <c r="BL33" i="19"/>
  <c r="BL40" i="19"/>
  <c r="BL49" i="19"/>
  <c r="BL53" i="19"/>
  <c r="BL54" i="19"/>
  <c r="BL55" i="19"/>
  <c r="BL12" i="19"/>
  <c r="BL3" i="19"/>
  <c r="BL57" i="19"/>
  <c r="BL23" i="19"/>
  <c r="BL42" i="19"/>
  <c r="BL51" i="19"/>
  <c r="BL24" i="19"/>
  <c r="BL39" i="19"/>
  <c r="BL46" i="19"/>
  <c r="BL47" i="19"/>
  <c r="BL9" i="19"/>
  <c r="BL34" i="19"/>
  <c r="BL32" i="19"/>
</calcChain>
</file>

<file path=xl/sharedStrings.xml><?xml version="1.0" encoding="utf-8"?>
<sst xmlns="http://schemas.openxmlformats.org/spreadsheetml/2006/main" count="3168" uniqueCount="792">
  <si>
    <t>code_pays</t>
  </si>
  <si>
    <t>Marque</t>
  </si>
  <si>
    <t>Modele</t>
  </si>
  <si>
    <t>Catégorisation produit (Igloo) EQUIPEMENTS 2</t>
  </si>
  <si>
    <t>Code_PF</t>
  </si>
  <si>
    <t>Standard_PF</t>
  </si>
  <si>
    <t>H int</t>
  </si>
  <si>
    <t>H</t>
  </si>
  <si>
    <t>L</t>
  </si>
  <si>
    <t>Z</t>
  </si>
  <si>
    <t>Hc</t>
  </si>
  <si>
    <t>F</t>
  </si>
  <si>
    <t>X</t>
  </si>
  <si>
    <t>N</t>
  </si>
  <si>
    <t>Libelle_descriptif</t>
  </si>
  <si>
    <t>PTAC</t>
  </si>
  <si>
    <t>CU</t>
  </si>
  <si>
    <t>Table Masses_Tracteur</t>
  </si>
  <si>
    <t>PTAC_TR</t>
  </si>
  <si>
    <t>PTRA</t>
  </si>
  <si>
    <t>Pàvide</t>
  </si>
  <si>
    <t>Volume</t>
  </si>
  <si>
    <t>C_Cabine</t>
  </si>
  <si>
    <t>M_Moteur</t>
  </si>
  <si>
    <t>C_Chassis</t>
  </si>
  <si>
    <t>C_Caisse</t>
  </si>
  <si>
    <t>C_Groupe frigo</t>
  </si>
  <si>
    <t>C_Hayon elevateur</t>
  </si>
  <si>
    <t>Image</t>
  </si>
  <si>
    <t>M</t>
  </si>
  <si>
    <t>LECAPITAINE</t>
  </si>
  <si>
    <t>01</t>
  </si>
  <si>
    <t>V5</t>
  </si>
  <si>
    <t>P</t>
  </si>
  <si>
    <t>IVECO</t>
  </si>
  <si>
    <t>DAILY</t>
  </si>
  <si>
    <t>04</t>
  </si>
  <si>
    <t>IVECO DAILY - CAISSE FRIGORIFIQUE IRL / HAYON</t>
  </si>
  <si>
    <t>EUROCARGO</t>
  </si>
  <si>
    <t>P10</t>
  </si>
  <si>
    <t>CF_100_C1</t>
  </si>
  <si>
    <t>CF_100_C2</t>
  </si>
  <si>
    <t>P16</t>
  </si>
  <si>
    <t>P18</t>
  </si>
  <si>
    <t>P21</t>
  </si>
  <si>
    <t>P23</t>
  </si>
  <si>
    <t>T</t>
  </si>
  <si>
    <t/>
  </si>
  <si>
    <t>C_IVECO_AT_TRACTEUR</t>
  </si>
  <si>
    <t>CH_STRALIS_AT_TRACTEUR_315-70R22-5</t>
  </si>
  <si>
    <t>RENAULT</t>
  </si>
  <si>
    <t>GAMME D</t>
  </si>
  <si>
    <t>SCR</t>
  </si>
  <si>
    <t>Zone libre 10</t>
  </si>
  <si>
    <t>Zone libre 11</t>
  </si>
  <si>
    <t>Zone libre 12</t>
  </si>
  <si>
    <t>Zone libre 13</t>
  </si>
  <si>
    <t>Zone libre 14</t>
  </si>
  <si>
    <t>Zone libre 15</t>
  </si>
  <si>
    <t>Zone libre 16</t>
  </si>
  <si>
    <t>Zone libre 17</t>
  </si>
  <si>
    <t>Zone libre 18</t>
  </si>
  <si>
    <t>Zone libre 19</t>
  </si>
  <si>
    <t>Zone libre 20</t>
  </si>
  <si>
    <t>H01</t>
  </si>
  <si>
    <t>H02</t>
  </si>
  <si>
    <t>KANGOO</t>
  </si>
  <si>
    <t>\\petitforestier.fr\siege\Applications\BaseProduits\Datas\Publipostage\Images\PUBLICATION - EURO 6\PLAN VEHICULES\IVECO_EUROCARGO_100E19CF01.jpg</t>
  </si>
  <si>
    <t>\\petitforestier.fr\siege\Applications\BaseProduits\Datas\Publipostage\Images\PUBLICATION - EURO 6\PLAN VEHICULES\IVECO_EUROCARGO_100E19CF02.jpg</t>
  </si>
  <si>
    <t>\\petitforestier.fr\siege\Applications\BaseProduits\Datas\Publipostage\Images\PUBLICATION - EURO 6\PLAN VEHICULES\IVECO_EUROCARGO_120E19CF01.jpg</t>
  </si>
  <si>
    <t>\\petitforestier.fr\siege\Applications\BaseProduits\Datas\Publipostage\Images\PUBLICATION - EURO 6\PLAN VEHICULES\IVECO_EUROCARGO_120E19CF02.jpg</t>
  </si>
  <si>
    <t>\\petitforestier.fr\siege\Applications\BaseProduits\Datas\Publipostage\Images\PUBLICATION - EURO 6\PLAN VEHICULES\IVECO_EUROCARGO_160E21CF01.jpg</t>
  </si>
  <si>
    <t>\\petitforestier.fr\siege\Applications\BaseProduits\Datas\Publipostage\Images\PUBLICATION - EURO 6\PLAN VEHICULES\IVECO_EUROCARGO_160E21CF02.jpg</t>
  </si>
  <si>
    <t>\\petitforestier.fr\siege\Applications\BaseProduits\Datas\Publipostage\Images\PUBLICATION - EURO 6\PLAN VEHICULES\RENAULT_D19.280CF01.jpg</t>
  </si>
  <si>
    <t>\\petitforestier.fr\siege\Applications\BaseProduits\Datas\Publipostage\Images\PUBLICATION - EURO 6\PLAN VEHICULES\RENAULT_D19.280CF02.jpg</t>
  </si>
  <si>
    <t>FS_PF_COMPASS</t>
  </si>
  <si>
    <t>FS_PF_API</t>
  </si>
  <si>
    <t>palettes</t>
  </si>
  <si>
    <t>FR</t>
  </si>
  <si>
    <t>CH_EUROCARGO_305-70R19-5_GNC</t>
  </si>
  <si>
    <t>CH_EUROCARGO_265-70R17-5_GNC</t>
  </si>
  <si>
    <t>catalogue_1
 PF</t>
  </si>
  <si>
    <t>L int 
utile 
sur plinthe</t>
  </si>
  <si>
    <t>W int
 utile 
sur plinthe</t>
  </si>
  <si>
    <t>H 
de 
passage</t>
  </si>
  <si>
    <t>Publication 
interne 3 
COMMERCIAL</t>
  </si>
  <si>
    <t>Publication 
interne 2 
LECAPITAINE</t>
  </si>
  <si>
    <t>Catégorisation 
produit (Igloo) 
EQUIPEMENTS 1</t>
  </si>
  <si>
    <t>Catégorisation 
produit (Igloo) 
CATEGORIE PTC 
+ CONTENANCE</t>
  </si>
  <si>
    <t>V11</t>
  </si>
  <si>
    <t>\\petitforestier.fr\siege\Applications\BaseProduits\Datas\Publipostage\Images\PUBLICATION - EURO 6\PLAN VEHICULES\VIDE.jpg</t>
  </si>
  <si>
    <t>\\petitforestier.fr\siege\Applications\BaseProduits\Datas\Publipostage\Images\PUBLICATION - EURO 6\PLAN VEHICULES\IVECO_STRALIS_AD260S33CF01.jpg</t>
  </si>
  <si>
    <t>\\petitforestier.fr\siege\Applications\BaseProduits\Datas\Publipostage\Images\PUBLICATION - EURO 6\PLAN VEHICULES\IVECO_STRALIS_AD260S33CF02.jpg</t>
  </si>
  <si>
    <t>\\petitforestier.fr\siege\Applications\BaseProduits\Datas\Publipostage\Images\PUBLICATION - EURO 6\PLAN VEHICULES\IVECO_TRACTEUR_AT_STRALIS_E6.jpg</t>
  </si>
  <si>
    <t>catalogue_2
ST</t>
  </si>
  <si>
    <t>catalogue_3
 LIBRE</t>
  </si>
  <si>
    <t>M_STRALIS_460-€VI-D</t>
  </si>
  <si>
    <t>HL_VIDE-OPTIONS</t>
  </si>
  <si>
    <t>RENAULT VL</t>
  </si>
  <si>
    <t>C_D_2.3_CLIM</t>
  </si>
  <si>
    <t>SANS</t>
  </si>
  <si>
    <t>VIDE</t>
  </si>
  <si>
    <t>CF_DAILY_C4-1950</t>
  </si>
  <si>
    <t>HAYON</t>
  </si>
  <si>
    <t>PTAC Kg</t>
  </si>
  <si>
    <t>Code PF</t>
  </si>
  <si>
    <t>Zone libre 8</t>
  </si>
  <si>
    <t>Zone libre 9</t>
  </si>
  <si>
    <t>Zone libre 6</t>
  </si>
  <si>
    <t>Zone libre 7</t>
  </si>
  <si>
    <t>Zone libre 1</t>
  </si>
  <si>
    <t>Zone libre 2</t>
  </si>
  <si>
    <t>Zone libre 3</t>
  </si>
  <si>
    <t>Zone libre 4</t>
  </si>
  <si>
    <t>Zone libre 5</t>
  </si>
  <si>
    <t>35C16-3L CF / 35C14 CF</t>
  </si>
  <si>
    <t>[CAMOCH_DEB_VLD]</t>
  </si>
  <si>
    <t>[CAMOCH_FIN_VLD]</t>
  </si>
  <si>
    <t>CHASSIS FR</t>
  </si>
  <si>
    <t>Poids 
CHASSIS</t>
  </si>
  <si>
    <t>[CAISSE_DEB_VLD]</t>
  </si>
  <si>
    <t>[CAISSE_FIN_VLD]</t>
  </si>
  <si>
    <t>[HAYON_DEB_VLD]</t>
  </si>
  <si>
    <t>[HAYON_FIN_VLD]</t>
  </si>
  <si>
    <t>[FRIGO_DEB_VLD]</t>
  </si>
  <si>
    <t>[FRIGO_FIN_VLD]</t>
  </si>
  <si>
    <t>Poids à vide</t>
  </si>
  <si>
    <t>CAISSE FR</t>
  </si>
  <si>
    <t xml:space="preserve">Poids 
CAISSE </t>
  </si>
  <si>
    <t>FRIGO</t>
  </si>
  <si>
    <t>Poids 
FRIGO</t>
  </si>
  <si>
    <t>Poids 
HAYON</t>
  </si>
  <si>
    <t>DELTA</t>
  </si>
  <si>
    <t>CHASSIS N-1</t>
  </si>
  <si>
    <t>HAYON N-1</t>
  </si>
  <si>
    <t>FRIGO N-1</t>
  </si>
  <si>
    <t>CAISSE N-1</t>
  </si>
  <si>
    <t>EUROCARGO 
220 cv / 210 cv
280 cv / 250 cv
320 cv / 280 cv</t>
  </si>
  <si>
    <t>EUROCARGO 
210 cv GNC / 210 cv</t>
  </si>
  <si>
    <t>GAMME D
250 cv / 240 cv</t>
  </si>
  <si>
    <t>S550 S</t>
  </si>
  <si>
    <t>S750 S</t>
  </si>
  <si>
    <t>S850 S</t>
  </si>
  <si>
    <t xml:space="preserve">S1150 S </t>
  </si>
  <si>
    <t>S1250 S</t>
  </si>
  <si>
    <t>GF_S750S-MT_2060mm</t>
  </si>
  <si>
    <t>GF_S1150S-MT_2160mm_GNC</t>
  </si>
  <si>
    <t>S1150-S MT</t>
  </si>
  <si>
    <t>S750-S MT</t>
  </si>
  <si>
    <t>S1250-S MT</t>
  </si>
  <si>
    <t>CU LECAP</t>
  </si>
  <si>
    <t>DELTA CU 
LECAP / N-1</t>
  </si>
  <si>
    <t xml:space="preserve">Publication 
interne  
</t>
  </si>
  <si>
    <t>Norme Euro</t>
  </si>
  <si>
    <t>C_Groupe frigo_V3</t>
  </si>
  <si>
    <t>C_Groupe frigo_V2</t>
  </si>
  <si>
    <t>Plinthe inox Lat 450 / Av 455</t>
  </si>
  <si>
    <t>CF_120_140_C1_Plint-Inox</t>
  </si>
  <si>
    <t>CF_120_140_C2_Plint-Inox</t>
  </si>
  <si>
    <t>CF_150_160_C1_Plint-Inox</t>
  </si>
  <si>
    <t>CF_150_160_C2_Plint-Inox</t>
  </si>
  <si>
    <t>CF_190_C1_Plint-Inox</t>
  </si>
  <si>
    <t>CF_190_C2_Plint-Inox</t>
  </si>
  <si>
    <t>CF_260_C1_Plint-Inox</t>
  </si>
  <si>
    <t>CF_260_C2_Plint-Inox</t>
  </si>
  <si>
    <t>CU n-1</t>
  </si>
  <si>
    <t>Plinthe Inox</t>
  </si>
  <si>
    <t>29.8</t>
  </si>
  <si>
    <t>38.7</t>
  </si>
  <si>
    <t>45.2</t>
  </si>
  <si>
    <t>52.2</t>
  </si>
  <si>
    <t>55.8</t>
  </si>
  <si>
    <t>Groupe Frigo</t>
  </si>
  <si>
    <t>GF_X350T_A_C_1560_1750mm_Cable10m</t>
  </si>
  <si>
    <t>IGLOOCAR</t>
  </si>
  <si>
    <t>C_EUROCARGO_CLIM_DAB</t>
  </si>
  <si>
    <t>GF_S850S_2480_2040mm_GNC</t>
  </si>
  <si>
    <t>S550 / S450</t>
  </si>
  <si>
    <t>GF_S550S_2210_1980mm</t>
  </si>
  <si>
    <t>CU n-2</t>
  </si>
  <si>
    <t>Clim</t>
  </si>
  <si>
    <t>B100/
NEOS100</t>
  </si>
  <si>
    <t>V200-50/
X200T</t>
  </si>
  <si>
    <t>3t5 / 3t3</t>
  </si>
  <si>
    <t>DCO GAZ / DIESEL</t>
  </si>
  <si>
    <t>35S / 35C</t>
  </si>
  <si>
    <t>X200T / X350T</t>
  </si>
  <si>
    <t>Sans
X350T</t>
  </si>
  <si>
    <t>Sans
NEOS100 / B100</t>
  </si>
  <si>
    <t>Passage de roue ALU</t>
  </si>
  <si>
    <t>V300-50 / X200T</t>
  </si>
  <si>
    <t>T800 / SUPRA 750</t>
  </si>
  <si>
    <t>T800SP / SUPRA 750MT</t>
  </si>
  <si>
    <t>T560 / T800</t>
  </si>
  <si>
    <t>T560 / SUPRA 550</t>
  </si>
  <si>
    <t>T1000 / SUPRA 850</t>
  </si>
  <si>
    <t>T1200 / SUPRA 1150</t>
  </si>
  <si>
    <t>T1200 / SUPRA 1250</t>
  </si>
  <si>
    <t>T1000SP / SUPRA 1150MT</t>
  </si>
  <si>
    <t>T1200SP / SUPRA 1150MT</t>
  </si>
  <si>
    <t>T1200SP / SUPRA 1250MT</t>
  </si>
  <si>
    <t>equipement</t>
  </si>
  <si>
    <t>HL_RT_DH-SM15_1500kg-CG750_1500mm-2250mm</t>
  </si>
  <si>
    <t>Porte lat bat</t>
  </si>
  <si>
    <t>40C / 3324 int ald 3224</t>
  </si>
  <si>
    <t>35C CF06 / 2824 int ald 2724</t>
  </si>
  <si>
    <t>V300-50 / X350T</t>
  </si>
  <si>
    <t>3 Rails en C - ES / 3 barres fixes et dents de loup</t>
  </si>
  <si>
    <t>serrure FAC</t>
  </si>
  <si>
    <t>Ajout Déflecteur</t>
  </si>
  <si>
    <t>35C14 CF - COMPASS</t>
  </si>
  <si>
    <t>35C14 CF - API</t>
  </si>
  <si>
    <t>FR_FR</t>
  </si>
  <si>
    <t>3t5 / 3t1</t>
  </si>
  <si>
    <t>HL_RT_DH-SM20_2000kg-CG750_1800mm-2400mm_pt</t>
  </si>
  <si>
    <t>DH-SM.20-1800mm / 1700mm</t>
  </si>
  <si>
    <t>DH-SM.20-1800mm / DH-SM.15-1500mm</t>
  </si>
  <si>
    <t>DH-SM.20-1800mm / DH-SM.20-1500mm</t>
  </si>
  <si>
    <t>X350T / X200T</t>
  </si>
  <si>
    <t>V200s-50/B100</t>
  </si>
  <si>
    <t>V300-50 / V200-50</t>
  </si>
  <si>
    <t>C_VIDE-OPTIONS</t>
  </si>
  <si>
    <t>CH_VIDE-OPTIONS</t>
  </si>
  <si>
    <t>M_VIDE-OPTIONS</t>
  </si>
  <si>
    <t>GF_VIDE-OPTIONS</t>
  </si>
  <si>
    <t>CF_VIDE-OPTIONS</t>
  </si>
  <si>
    <t>2 places / 3 places</t>
  </si>
  <si>
    <t>S-WAY</t>
  </si>
  <si>
    <t>\\petitforestier.fr\siege\Applications\BaseProduits\Datas\Publipostage\Images\PUBLICATION - EURO 6\PLAN VEHICULES\IVECO_S-WAY_AD190S40-G-CF01.jpg</t>
  </si>
  <si>
    <t>Réservoir 100 L / 70L</t>
  </si>
  <si>
    <t xml:space="preserve"> 2 porte AR totale / 2 portes ar 1105 mm</t>
  </si>
  <si>
    <t>Rigidlink</t>
  </si>
  <si>
    <t>40C / 35C - 38S / 35S</t>
  </si>
  <si>
    <t>C_IVECO_AD-S-WAY_PORTEUR-CLIM-MAN</t>
  </si>
  <si>
    <t>Sans X350T (145 Kg)</t>
  </si>
  <si>
    <t>DELTA CU FR</t>
  </si>
  <si>
    <t>CH_D_4x2_315-80R22-5_GNC-1200L</t>
  </si>
  <si>
    <t>\\petitforestier.fr\siege\Applications\BaseProduits\Datas\Publipostage\Images\PUBLICATION - EURO 6\PLAN VEHICULES\IVECO_S-WAY_AD190S40-G-CF02.jpg</t>
  </si>
  <si>
    <t>CH_S-WAY_315-80R22-5_GNC-400-1052L</t>
  </si>
  <si>
    <t>GF_S1150S_2820_2040mm_Réserv-90l</t>
  </si>
  <si>
    <t>GF_S1150S-MT_2160mm_Réserv-90l</t>
  </si>
  <si>
    <t>M_DAILY_2.3_136-HD-€VI-E_Bat105Ah_BV.HIMATIC</t>
  </si>
  <si>
    <t>Clim + Régulateur</t>
  </si>
  <si>
    <t>1° essieu relevable</t>
  </si>
  <si>
    <t>EURO VI-E / VI-D</t>
  </si>
  <si>
    <t>1950  / 1900</t>
  </si>
  <si>
    <t>Porte lat double battant</t>
  </si>
  <si>
    <t>6590 mm / 7590</t>
  </si>
  <si>
    <t>GF_S1250S-MT-GNC-City_2160mm</t>
  </si>
  <si>
    <t>GF_S1250S-GNC-City_3453_2160mm</t>
  </si>
  <si>
    <t>GF_FK25</t>
  </si>
  <si>
    <t>GF_FK25I-MT_2200mm</t>
  </si>
  <si>
    <t>€ VI-E</t>
  </si>
  <si>
    <t>M_D_320_GNC-€VI-E</t>
  </si>
  <si>
    <t>M_S-WAY_400-€VI-E_GNC</t>
  </si>
  <si>
    <t>FS_PF_Energie Alter</t>
  </si>
  <si>
    <t>FS_ST_Energie Alter</t>
  </si>
  <si>
    <t>100E21 G CF</t>
  </si>
  <si>
    <t>100E21 G CF - TK V1000</t>
  </si>
  <si>
    <t>100E21 G CF - TK V1000 SP</t>
  </si>
  <si>
    <t>160E21 G CF - SUPRA GAZ</t>
  </si>
  <si>
    <t>160E21 G CF - SUPRA GAZ MT</t>
  </si>
  <si>
    <t>160E21 G CF - 15 Pal - SUPRA 750</t>
  </si>
  <si>
    <t>160E21 G CF - 15 Pal - SUPRA 1150 MT</t>
  </si>
  <si>
    <t>160E21 G CF - 15 Pal - SUPRA GAZ</t>
  </si>
  <si>
    <t>160E21 G CF - 15 Pal - SUPRA GAZ MT</t>
  </si>
  <si>
    <t>120EL21 G CF - 11 Pal - SUPRA 550</t>
  </si>
  <si>
    <t>120EL21 G CF - 11 Pal - SUPRA 750 MT</t>
  </si>
  <si>
    <t>120EL21 G CF - 11 Pal - TK V1000</t>
  </si>
  <si>
    <t>120EL21 G CF - 11 Pal - TK V1000 SP</t>
  </si>
  <si>
    <t>120EL21 G CF - SUPRA GAZ</t>
  </si>
  <si>
    <t>120EL21 G CF - SUPRA GAZ MT</t>
  </si>
  <si>
    <t>AD190S40 G CF - 18 Pal - SUPRA 850 S</t>
  </si>
  <si>
    <t>AD190S40 G CF - 18 Pal - SUPRA 1150 S MT</t>
  </si>
  <si>
    <t>AD190S40 G CF - 18 Pal - SUPRA GAZ</t>
  </si>
  <si>
    <t>AD190S40 G CF - 18 Pal - SUPRA GAZ MT</t>
  </si>
  <si>
    <t>AD190S40 G CF - 18 Pal - FK 25</t>
  </si>
  <si>
    <t>AD190S40 G CF - 18 Pal - FK 25I MT</t>
  </si>
  <si>
    <t>AD190S40 G CF - SUPRA GAZ</t>
  </si>
  <si>
    <t>AD190S40 G CF - SUPRA GAZ MT</t>
  </si>
  <si>
    <t>AD190S40 G CF - FK 25</t>
  </si>
  <si>
    <t>AD190S40 G CF - FK 25I MT</t>
  </si>
  <si>
    <t>AT440S46 G TR</t>
  </si>
  <si>
    <t>IVECO S-WAY GNC - TRACTEUR</t>
  </si>
  <si>
    <t>AD260S40 G CF - SUPRA GAZ</t>
  </si>
  <si>
    <t>AD260S40 G CF - SUPRA GAZ MT</t>
  </si>
  <si>
    <t>AD260S40 G CF - FK 25</t>
  </si>
  <si>
    <t>AD260S40 G CF - FK 25I MT</t>
  </si>
  <si>
    <t>AD190S40 G CF - 18 Pal - CARRIER SYBERIA</t>
  </si>
  <si>
    <t>AD190S40 G CF - 18 Pal - CARRIER SYBERIA MT</t>
  </si>
  <si>
    <t>AD190S40 G CF - CARRIER SYBERIA</t>
  </si>
  <si>
    <t>AD190S40 G CF - CARRIER SYBERIA MT</t>
  </si>
  <si>
    <t>AD260S40 G CF - CARRIER SYBERIA</t>
  </si>
  <si>
    <t>AD260S40 G CF - CARRIER SYBERIA MT</t>
  </si>
  <si>
    <t>D19.320 G CF - 18 Pal - SUPRA 850 S</t>
  </si>
  <si>
    <t>D19.320 G CF - 18 Pal - SUPRA 1150 S MT</t>
  </si>
  <si>
    <t>D19.320 G CF - 18 Pal - SUPRA GAZ</t>
  </si>
  <si>
    <t>D19.320 G CF - 18 Pal - SUPRA GAZ MT</t>
  </si>
  <si>
    <t>D19.320 G CF - 18 Pal - FK 25</t>
  </si>
  <si>
    <t>D19.320 G CF - 18 Pal - FK 25I MT</t>
  </si>
  <si>
    <t>D19.320 G CF - SUPRA GAZ</t>
  </si>
  <si>
    <t>D19.320 G CF - SUPRA GAZ MT</t>
  </si>
  <si>
    <t>D19.320 G CF - FK 25</t>
  </si>
  <si>
    <t>D19.320 G CF - FK 25I MT</t>
  </si>
  <si>
    <t>D26.320 G CF - SUPRA GAZ</t>
  </si>
  <si>
    <t>D26.320 G CF - SUPRA GAZ MT</t>
  </si>
  <si>
    <t>D26.320 G CF - FK 25</t>
  </si>
  <si>
    <t>D26.320 G CF - FK 25I MT</t>
  </si>
  <si>
    <t>D19.320 G CF - 18 Pal - CARRIER SYBERIA</t>
  </si>
  <si>
    <t>D19.320 G CF - 18 Pal - CARRIER SYBERIA MT</t>
  </si>
  <si>
    <t>D19.320 G CF - CARRIER SYBERIA</t>
  </si>
  <si>
    <t>D19.320 G CF - CARRIER SYBERIA MT</t>
  </si>
  <si>
    <t>IVECO EUROCARGO - CAISSE FRIGORIFIQUE / MULTI TEMP. / HAYON</t>
  </si>
  <si>
    <t>IVECO EUROCARGO - CAISSE FRIGORIFIQUE / MULTI TEMP. - TK V1000 SP / HAYON</t>
  </si>
  <si>
    <t>IVECO EUROCARGO GNC - CAISSE FRIGORIFIQUE - 11 Pal / MULTI TEMP. - SUPRA 750 MT / HAYON</t>
  </si>
  <si>
    <t>IVECO EUROCARGO GNC - CAISSE FRIGORIFIQUE - 11 Pal / MULTI TEMP. - TK V1000 SP / HAYON</t>
  </si>
  <si>
    <t>IVECO EUROCARGO GNC - CAISSE FRIGORIFIQUE / MULTI TEMP. - SUPRA GAZ MT / HAYON</t>
  </si>
  <si>
    <t>IVECO EUROCARGO GNC - CAISSE FRIGORIFIQUE - 15 Pal / MULTI TEMP. - SUPRA 1150 MT / HAYON</t>
  </si>
  <si>
    <t>IVECO EUROCARGO GNC - CAISSE FRIGORIFIQUE - 15 Pal / MULTI TEMP. - SUPRA GAZ MT / HAYON</t>
  </si>
  <si>
    <t>IVECO S-WAY GNC - CAISSE FRIGORIFIQUE - 18 Pal / MULTI TEMP.SUPRA 1150 S MT / HAYON</t>
  </si>
  <si>
    <t>IVECO S-WAY GNC - CAISSE FRIGORIFIQUE - 18 Pal / MULTI TEMP. - SUPRA GAZ MT / HAYON</t>
  </si>
  <si>
    <t>IVECO S-WAY GNC - CAISSE FRIGORIFIQUE / MULTI TEMP. - FK 25I MT / HAYON</t>
  </si>
  <si>
    <t>IVECO S-WAY GNC - CAISSE FRIGORIFIQUE / MULTI TEMP. - SUPRA GAZ MT / HAYON</t>
  </si>
  <si>
    <t>RENAULT GAMME D WIDE GNC - CAISSE FRIGORIFIQUE - 18 Pal / MULTI TEMP. - SUPRA 1150 S MT / HAYON</t>
  </si>
  <si>
    <t>RENAULT GAMME D WIDE GNC - CAISSE FRIGORIFIQUE - 18 Pal / MULTI TEMP. - SUPRA GAZ MT / HAYON</t>
  </si>
  <si>
    <t>RENAULT GAMME D WIDE GNC  - CAISSE FRIGORIFIQUE - 18 Pal / MULTI TEMP. - FK 25I MT / HAYON</t>
  </si>
  <si>
    <t>RENAULT GAMME D WIDE GNC  - CAISSE FRIGORIFIQUE / MULTI TEMP. - SUPRA GAZ MT / HAYON</t>
  </si>
  <si>
    <t>RENAULT GAMME D WIDE GNC  - CAISSE FRIGORIFIQUE / MULTI TEMP. - FK 25I MT / HAYON</t>
  </si>
  <si>
    <t>IVECO EUROCARGO - CAISSE FRIGORIFIQUE / MONO TEMP. / HAYON</t>
  </si>
  <si>
    <t>IVECO EUROCARGO - CAISSE FRIGORIFIQUE / MONO TEMP. - TK V1000 / HAYON</t>
  </si>
  <si>
    <t>IVECO EUROCARGO GNC - CAISSE FRIGORIFIQUE - 11 Pal / MONO TEMP. - SUPRA 550 / HAYON</t>
  </si>
  <si>
    <t>IVECO EUROCARGO GNC - CAISSE FRIGORIFIQUE - 11 Pal / MONO TEMP. - TK V1000 / HAYON</t>
  </si>
  <si>
    <t>IVECO EUROCARGO GNC - CAISSE FRIGORIFIQUE / MONO TEMP. - SUPRA GAZ / HAYON</t>
  </si>
  <si>
    <t>IVECO EUROCARGO GNC - CAISSE FRIGORIFIQUE - 15 Pal / MONO TEMP. - SUPRA 750 / HAYON</t>
  </si>
  <si>
    <t>IVECO EUROCARGO GNC - CAISSE FRIGORIFIQUE - 15 Pal / MONO TEMP. - SUPRA GAZ / HAYON</t>
  </si>
  <si>
    <t>IVECO S-WAY GNC - CAISSE FRIGORIFIQUE - 18 Pal / MONO TEMP.SUPRA 850 S / HAYON</t>
  </si>
  <si>
    <t>IVECO S-WAY GNC - CAISSE FRIGORIFIQUE - 18 Pal / MONO TEMP. - SUPRA GAZ / HAYON</t>
  </si>
  <si>
    <t>IVECO S-WAY GNC - CAISSE FRIGORIFIQUE / MONO TEMP. - FK 25 / HAYON</t>
  </si>
  <si>
    <t>IVECO S-WAY GNC - CAISSE FRIGORIFIQUE / MONO TEMP. - SUPRA GAZ / HAYON</t>
  </si>
  <si>
    <t>RENAULT GAMME D WIDE GNC - CAISSE FRIGORIFIQUE - 18 PalSUPRA 850 S / MONO TEMP. / HAYON</t>
  </si>
  <si>
    <t>RENAULT GAMME D WIDE GNC - CAISSE FRIGORIFIQUE - 18 Pal / MONO TEMP. - SUPRA GAZ / HAYON</t>
  </si>
  <si>
    <t>RENAULT GAMME D WIDE GNC - CAISSE FRIGORIFIQUE - 18 Pal / MONO TEMP. - FK 25 / HAYON</t>
  </si>
  <si>
    <t>RENAULT GAMME D WIDE GNC - CAISSE FRIGORIFIQUE / MONO TEMP. - SUPRA GAZ / HAYON</t>
  </si>
  <si>
    <t>RENAULT GAMME D WIDE GNC - CAISSE FRIGORIFIQUE / MONO TEMP. - FK 25 / HAYON</t>
  </si>
  <si>
    <t>D26.320 G CF - CARRIER SYBERIA</t>
  </si>
  <si>
    <t>D26.320 G CF - CARRIER SYBERIA MT</t>
  </si>
  <si>
    <t>IVECO S-WAY GNC - CAISSE FRIGORIFIQUE / MONO TEMP. - CARRIER SYBERIA / HAYON</t>
  </si>
  <si>
    <t>IVECO S-WAY GNC - CAISSE FRIGORIFIQUE / MULTI TEMP. - CARRIER SYBERIA MT / HAYON</t>
  </si>
  <si>
    <t>RENAULT GAMME D WIDE GNC - CAISSE FRIGORIFIQUE - 18 Pal / MONO TEMP. - CARRIER SYBERIA / HAYON</t>
  </si>
  <si>
    <t>RENAULT GAMME D WIDE GNC - CAISSE FRIGORIFIQUE - 18 Pal / MULTI TEMP. - CARRIER SYBERIA MT / HAYON</t>
  </si>
  <si>
    <t>RENAULT GAMME D WIDE GNC - CAISSE FRIGORIFIQUE / MONO TEMP. - CARRIER SYBERIA / HAYON</t>
  </si>
  <si>
    <t>RENAULT GAMME D WIDE GNC - CAISSE FRIGORIFIQUE / MULTI TEMP. - CARRIER SYBERIA MT / HAYON</t>
  </si>
  <si>
    <t>GF_V1000MAX-50_A_C_2060mm_Cable10m</t>
  </si>
  <si>
    <t>GF_V1000MAXSPEC-50_A_C_2060mm_Cable10m</t>
  </si>
  <si>
    <t>GF_SYB11_2200mm</t>
  </si>
  <si>
    <t>GF_SYB18-MT_2160mm</t>
  </si>
  <si>
    <t>X200T/
NEOS100 ou 200</t>
  </si>
  <si>
    <t>Sans X200T
 (90 Kg)</t>
  </si>
  <si>
    <t>M_EUROCARGO_210-€VI-E_GNC_BVM_B143Ah</t>
  </si>
  <si>
    <t>BV EDC / HIMATIC / 
BVR</t>
  </si>
  <si>
    <t>M_EUROCARGO_220-€VI-E_BVR_B170Ah</t>
  </si>
  <si>
    <t>HL_RT_DH-SM15_1000kg-CG750_1500mm-2150mm</t>
  </si>
  <si>
    <t>palettes 800 x 1200 mm</t>
  </si>
  <si>
    <t>RENAULT KANGOO - CAISSE FRIGORIFIQUE IRL</t>
  </si>
  <si>
    <t xml:space="preserve">Traduction </t>
  </si>
  <si>
    <t>Ok</t>
  </si>
  <si>
    <t>Création de fiches Techniques</t>
  </si>
  <si>
    <t>Intégration Salesforce</t>
  </si>
  <si>
    <t>Intégration Commun agence</t>
  </si>
  <si>
    <t>AT-DE</t>
  </si>
  <si>
    <t>DE-DE</t>
  </si>
  <si>
    <t>BE-FR</t>
  </si>
  <si>
    <t>AT-FR</t>
  </si>
  <si>
    <t>DE-FR</t>
  </si>
  <si>
    <t>CH-DE</t>
  </si>
  <si>
    <t>CH-FR</t>
  </si>
  <si>
    <t>CH-IT</t>
  </si>
  <si>
    <t>Définition et validation des standards par Pays</t>
  </si>
  <si>
    <t>PETIT FORESTIER</t>
  </si>
  <si>
    <t>Nbres Standard</t>
  </si>
  <si>
    <t>OK</t>
  </si>
  <si>
    <t>CZ-FR</t>
  </si>
  <si>
    <t>En attente retour Tchéquie</t>
  </si>
  <si>
    <t>Carrossier Fourgon</t>
  </si>
  <si>
    <t>Carrossier Caisse</t>
  </si>
  <si>
    <t>A définir</t>
  </si>
  <si>
    <t>CZ-CZ</t>
  </si>
  <si>
    <t>GB-EN</t>
  </si>
  <si>
    <t>GB-FR</t>
  </si>
  <si>
    <t>Nok</t>
  </si>
  <si>
    <t>???</t>
  </si>
  <si>
    <t>IR-EN</t>
  </si>
  <si>
    <t>IR-FR</t>
  </si>
  <si>
    <t>HU-HU</t>
  </si>
  <si>
    <t>HU-FR</t>
  </si>
  <si>
    <t>A mettre à à jour</t>
  </si>
  <si>
    <t>En attente retour Hongrie</t>
  </si>
  <si>
    <t>Nok ( 3 FT à reprendre en chassis cabine et non en plancher cabine)</t>
  </si>
  <si>
    <t>Nok (Pas de standard défini)</t>
  </si>
  <si>
    <t>LU-EN</t>
  </si>
  <si>
    <t>LU-FR</t>
  </si>
  <si>
    <t>NL-EN</t>
  </si>
  <si>
    <t>NL-FR</t>
  </si>
  <si>
    <t>Nok (Réalisée en 2019)
Travail en direct avec LECAPITAINE
Pas d'info si FT doivent évoluées</t>
  </si>
  <si>
    <t>Autriche</t>
  </si>
  <si>
    <t>SUISSE</t>
  </si>
  <si>
    <t>Allemagne</t>
  </si>
  <si>
    <t>Irlande</t>
  </si>
  <si>
    <t>Luxembourg</t>
  </si>
  <si>
    <t>Belgique</t>
  </si>
  <si>
    <t>R. Tcheque</t>
  </si>
  <si>
    <t>Angleterre</t>
  </si>
  <si>
    <t>Hongrie</t>
  </si>
  <si>
    <t>Hollande</t>
  </si>
  <si>
    <t>Pas de traduction en Hollandais par le cabinet extérieur</t>
  </si>
  <si>
    <t>M_moteur</t>
  </si>
  <si>
    <t>CH_KANGOO-PC_205-60R16_GSRII</t>
  </si>
  <si>
    <t>KOCF - COMPASS</t>
  </si>
  <si>
    <t>CH_DAILY-CC_35C_195-75R16_ADB_GSRII_86L_RS</t>
  </si>
  <si>
    <t>M_KANGOO-PC_1.5_115-€6e-PREM3-Nonbridé</t>
  </si>
  <si>
    <t>GF_E200e_A_C_1233mm_Cable10m</t>
  </si>
  <si>
    <t>KOCF - API</t>
  </si>
  <si>
    <t>KOCF - SODEXO</t>
  </si>
  <si>
    <t>Climatisation manuelle</t>
  </si>
  <si>
    <t>Régulateur et limiteur de vitesse</t>
  </si>
  <si>
    <t>Caméra de recul</t>
  </si>
  <si>
    <t>Radars de recul</t>
  </si>
  <si>
    <t>Vitres électriques</t>
  </si>
  <si>
    <t>Verrouillage centralisé à distance</t>
  </si>
  <si>
    <t>3 places</t>
  </si>
  <si>
    <t>Pré-équipement télématique</t>
  </si>
  <si>
    <t>Bluetooth</t>
  </si>
  <si>
    <t>Direction assistée</t>
  </si>
  <si>
    <t>Airbags conducteur et passager</t>
  </si>
  <si>
    <t>Déflecteur</t>
  </si>
  <si>
    <t>Rétroviseurs électriques et dégivrants</t>
  </si>
  <si>
    <t>Chronotachygraphe</t>
  </si>
  <si>
    <t>Régulateur et Limiteur de vitesse réglable électronique</t>
  </si>
  <si>
    <t>Climatisation</t>
  </si>
  <si>
    <t>2 places</t>
  </si>
  <si>
    <t>Prise FMS</t>
  </si>
  <si>
    <t>Volant multifonctions réglable en hauteur et en profondeur</t>
  </si>
  <si>
    <t>Frein stationnement électrique</t>
  </si>
  <si>
    <t>Feux et essuies vitres  automatiques</t>
  </si>
  <si>
    <t>Radio</t>
  </si>
  <si>
    <t>Prise 12V + 2 prises USB dans rangement au dessus du volant</t>
  </si>
  <si>
    <t xml:space="preserve">Siège conducteur réglable en hauteur avec accoudoir </t>
  </si>
  <si>
    <t>Airbags frontaux conducteur et passager</t>
  </si>
  <si>
    <t>zone libre 20</t>
  </si>
  <si>
    <t>zone libre 19</t>
  </si>
  <si>
    <t>zone libre 18</t>
  </si>
  <si>
    <t>zone libre 17</t>
  </si>
  <si>
    <t>zone libre 16</t>
  </si>
  <si>
    <t>zone libre 15</t>
  </si>
  <si>
    <t>zone libre 14</t>
  </si>
  <si>
    <t>zone libre 13</t>
  </si>
  <si>
    <t>zone libre 12</t>
  </si>
  <si>
    <t>zone libre 11</t>
  </si>
  <si>
    <t>Triangle de signalisation</t>
  </si>
  <si>
    <t>Peinture</t>
  </si>
  <si>
    <t>Essuie vitre avant et allumage automatique des feux de croisement</t>
  </si>
  <si>
    <t>Détection de sous gonflage / Capteurs de pression des pneumatiques TPMS</t>
  </si>
  <si>
    <t>Kit fumeur</t>
  </si>
  <si>
    <t>Extincteur</t>
  </si>
  <si>
    <t>Elements de sécurité</t>
  </si>
  <si>
    <t>Boite de rangement</t>
  </si>
  <si>
    <t>Trappe de toit</t>
  </si>
  <si>
    <t xml:space="preserve">Tunnel Moteur / 
Rangement ouvert ou coffre sur tunnel moteur </t>
  </si>
  <si>
    <t>Chauffage autonome</t>
  </si>
  <si>
    <t>Suspension cabine</t>
  </si>
  <si>
    <t>Couchette</t>
  </si>
  <si>
    <t>Antibrouillard Av</t>
  </si>
  <si>
    <t>Prise 12V - 24 V</t>
  </si>
  <si>
    <t xml:space="preserve">Volant </t>
  </si>
  <si>
    <t>Régulateur</t>
  </si>
  <si>
    <t>Siège conducteur</t>
  </si>
  <si>
    <t>Airbag</t>
  </si>
  <si>
    <t>Rétroviseurs</t>
  </si>
  <si>
    <t>Vitres</t>
  </si>
  <si>
    <t>Verrouillage cabine</t>
  </si>
  <si>
    <t>Nb places</t>
  </si>
  <si>
    <t>Produit (P) / Option (O)</t>
  </si>
  <si>
    <t>O</t>
  </si>
  <si>
    <t>Déflecteur de cabine</t>
  </si>
  <si>
    <t>Norme pollution</t>
  </si>
  <si>
    <t>Type moteur</t>
  </si>
  <si>
    <t>Cylindrée en Litres</t>
  </si>
  <si>
    <t>Principe fonctionnement</t>
  </si>
  <si>
    <t>Puissance</t>
  </si>
  <si>
    <t>Nb cylindre</t>
  </si>
  <si>
    <t>Cylindrée en cm3</t>
  </si>
  <si>
    <t>Type de boite</t>
  </si>
  <si>
    <t>Batterie</t>
  </si>
  <si>
    <t>Alternateur</t>
  </si>
  <si>
    <t>Frein sur échappement</t>
  </si>
  <si>
    <t>Couple moteur</t>
  </si>
  <si>
    <t>Rapport de pont</t>
  </si>
  <si>
    <t>EGR</t>
  </si>
  <si>
    <t>FAP</t>
  </si>
  <si>
    <t>Baterie électrique</t>
  </si>
  <si>
    <t>Rechargement</t>
  </si>
  <si>
    <t>Récupération énergie</t>
  </si>
  <si>
    <t xml:space="preserve">Vitesse maxi </t>
  </si>
  <si>
    <t>Autonimie 1</t>
  </si>
  <si>
    <t>Autonimie 2</t>
  </si>
  <si>
    <t>Niv Sonore</t>
  </si>
  <si>
    <t>_</t>
  </si>
  <si>
    <t>Cable 1 / HU</t>
  </si>
  <si>
    <t>et</t>
  </si>
  <si>
    <t>Cable 2</t>
  </si>
  <si>
    <t>Euro 6e</t>
  </si>
  <si>
    <t>Turbo Diesel</t>
  </si>
  <si>
    <t xml:space="preserve">1,5L </t>
  </si>
  <si>
    <t>4 cylindres</t>
  </si>
  <si>
    <t>B.V. manuelle à 6 rapports Av. + 1 Ar.</t>
  </si>
  <si>
    <t>Batterie : 70 Ah</t>
  </si>
  <si>
    <t>115 ch</t>
  </si>
  <si>
    <t>Alternateur : 230 A</t>
  </si>
  <si>
    <t>Blue dCi</t>
  </si>
  <si>
    <t>Vehicule non bridée - PREM03</t>
  </si>
  <si>
    <t>c_chassis</t>
  </si>
  <si>
    <t>Dimensions PNEUMATIQUES</t>
  </si>
  <si>
    <t>Réservoir à carburant</t>
  </si>
  <si>
    <t>Type suspension arrière</t>
  </si>
  <si>
    <t>Type freinage</t>
  </si>
  <si>
    <t>Buzzer de marche arrière</t>
  </si>
  <si>
    <t>Réservoir AdBlue</t>
  </si>
  <si>
    <t>Sans support roue de secours et sans roue de secours</t>
  </si>
  <si>
    <t>Adaptateur prise remorque</t>
  </si>
  <si>
    <t>Hauteur attelage</t>
  </si>
  <si>
    <t>Aide au démarrage en côte</t>
  </si>
  <si>
    <t>SREM - Finition châssis</t>
  </si>
  <si>
    <t>SREM - Type Essieux</t>
  </si>
  <si>
    <t>SREM - Nb Odomètre</t>
  </si>
  <si>
    <t>SREM - Type béquille</t>
  </si>
  <si>
    <t>SREM - Nb anneaux</t>
  </si>
  <si>
    <t>SREM - Détails Frein</t>
  </si>
  <si>
    <t>SREM - Sécurité Travagem 1</t>
  </si>
  <si>
    <t>SREM - Sécurité Travagem 2</t>
  </si>
  <si>
    <t>SREM - Système mise à quai</t>
  </si>
  <si>
    <t>SREM - Système position route</t>
  </si>
  <si>
    <t>Blocage de différentiel</t>
  </si>
  <si>
    <t>ESP / GSRII (General Safety Regulation)</t>
  </si>
  <si>
    <t>LDWS</t>
  </si>
  <si>
    <t>AEBS</t>
  </si>
  <si>
    <t>Vitesse Maxi</t>
  </si>
  <si>
    <t>Autonomie 1</t>
  </si>
  <si>
    <t>Autonomie 2</t>
  </si>
  <si>
    <t>Grilles de protection feux arrière</t>
  </si>
  <si>
    <t>Poids en ordre de marche ± 5%</t>
  </si>
  <si>
    <t>Prise 13 broches</t>
  </si>
  <si>
    <t>Extincteur 6 Kg + coffre</t>
  </si>
  <si>
    <t>Lampe portable de détresse sur châssis</t>
  </si>
  <si>
    <t>Coffre à ouitils</t>
  </si>
  <si>
    <t>Fourgon tôlé / Transmission : Traction avant</t>
  </si>
  <si>
    <t>Pneumatiques : 205/60 R16</t>
  </si>
  <si>
    <t>Suspension arrière mécanique</t>
  </si>
  <si>
    <t>Freinage avec ABS</t>
  </si>
  <si>
    <t>GSRII (General Safety Regulation)</t>
  </si>
  <si>
    <t>Roue de secours avec support</t>
  </si>
  <si>
    <t>Plancher cabine / Transmission : Traction avant / Roues arrière simples</t>
  </si>
  <si>
    <t>Pneumatiques : 195/75 R16</t>
  </si>
  <si>
    <t xml:space="preserve">Réservoir AdBlue de 20 L </t>
  </si>
  <si>
    <t>Châssis cabine / Transmission : Propulsion arrière / Roues arrière jumelées</t>
  </si>
  <si>
    <t>Réservoir à carburant de 86 L</t>
  </si>
  <si>
    <t>Réservoir à carburant de 54 L</t>
  </si>
  <si>
    <t>Réservoir AdBlue 18 L</t>
  </si>
  <si>
    <t>c_caisse</t>
  </si>
  <si>
    <t>Produit (P) - Option (O)</t>
  </si>
  <si>
    <t>Type isolation</t>
  </si>
  <si>
    <t>Nb et dimensions portes arrières</t>
  </si>
  <si>
    <t>Nb et dimensions portes latérales</t>
  </si>
  <si>
    <t>Accès arrière</t>
  </si>
  <si>
    <t>Accès latéral</t>
  </si>
  <si>
    <t>Type plancher</t>
  </si>
  <si>
    <t>Nb siphons d'évacuation / faux chassis</t>
  </si>
  <si>
    <t>Nb plafonniers</t>
  </si>
  <si>
    <t>Plancher supplémentaire</t>
  </si>
  <si>
    <t>Nb et position rail d'arrimage</t>
  </si>
  <si>
    <t>Système de penderie à viande</t>
  </si>
  <si>
    <t>Type cloison</t>
  </si>
  <si>
    <t>Type rideau</t>
  </si>
  <si>
    <t>Protection portes</t>
  </si>
  <si>
    <t>Doublage parois</t>
  </si>
  <si>
    <t>Doublage passage de roues</t>
  </si>
  <si>
    <t>Protection parois</t>
  </si>
  <si>
    <t>Protection parois supplémentaires</t>
  </si>
  <si>
    <t>Protection évaporateur</t>
  </si>
  <si>
    <t>Protection entrée arrière</t>
  </si>
  <si>
    <t>Type cadre arrière</t>
  </si>
  <si>
    <t>NB gaines de ventilation</t>
  </si>
  <si>
    <t>Coffre à outils</t>
  </si>
  <si>
    <t>Boite à documents</t>
  </si>
  <si>
    <t>Tubes</t>
  </si>
  <si>
    <t>Capitons</t>
  </si>
  <si>
    <t>Capucine</t>
  </si>
  <si>
    <t>Pavillon</t>
  </si>
  <si>
    <t>Aérateurs</t>
  </si>
  <si>
    <t>Grilles d'aération</t>
  </si>
  <si>
    <t>Carénage de groupe</t>
  </si>
  <si>
    <t>zone libre 2</t>
  </si>
  <si>
    <t>zone libre 3</t>
  </si>
  <si>
    <t>zone libre 4</t>
  </si>
  <si>
    <t>zone libre 5</t>
  </si>
  <si>
    <t>zone libre 6</t>
  </si>
  <si>
    <t>zone libre 7</t>
  </si>
  <si>
    <t>zone libre 8</t>
  </si>
  <si>
    <t>zone libre 9</t>
  </si>
  <si>
    <t>zone libre 10</t>
  </si>
  <si>
    <t xml:space="preserve">Signalisation </t>
  </si>
  <si>
    <t>Isolation renforcée LECAPITAINE</t>
  </si>
  <si>
    <t>2 portes arrière ouverture totale (porte droite prioritaire)</t>
  </si>
  <si>
    <t>1 Prise de hayon pour commande filaire au pavillon à l’arrière droit</t>
  </si>
  <si>
    <t>1 plafonnier à LED avec temporisation</t>
  </si>
  <si>
    <t>Marchepied fixe 1 marche</t>
  </si>
  <si>
    <t>Plancher : Antidérapant sans passages de roues avec 1 siphon d'évacuation</t>
  </si>
  <si>
    <t>Protection bas de parois sur 245 mm de haut</t>
  </si>
  <si>
    <t>1 niveau de rail d'arrimage en acier galvanisé D + G à 900 mm du plancher</t>
  </si>
  <si>
    <t>Faux châssis allégé RigidLink</t>
  </si>
  <si>
    <t>Protection évaporateur avant et arrière</t>
  </si>
  <si>
    <t>Porte latérale battante 1000 mm x 1850 mm à 105 mm à l'avant droit</t>
  </si>
  <si>
    <t>1 Porte arrière 900 mm x 1250 mm</t>
  </si>
  <si>
    <t>Plancher : Antidérapant avec passages de roues (largeur entre passages de roues : 1177 mm) avec 1 siphon d'évacuation</t>
  </si>
  <si>
    <t>1 plafonnier à LED</t>
  </si>
  <si>
    <t>c_groupe frigo</t>
  </si>
  <si>
    <t>Marque groupe</t>
  </si>
  <si>
    <t>Modèle groupe</t>
  </si>
  <si>
    <t xml:space="preserve">Equipements
Chauffage gaz chaud
</t>
  </si>
  <si>
    <t>Classe froid</t>
  </si>
  <si>
    <t>Type fonctionnement</t>
  </si>
  <si>
    <t>Tension de fonctionnement</t>
  </si>
  <si>
    <t>Hauteur sous évaporateur</t>
  </si>
  <si>
    <t>Type évaporateur Multitemp.</t>
  </si>
  <si>
    <t>Blue Box Lite  / Blue Box / LYNX</t>
  </si>
  <si>
    <t>Enregistreur de température</t>
  </si>
  <si>
    <t>Puissance Frigorifique</t>
  </si>
  <si>
    <t>Débit d'air</t>
  </si>
  <si>
    <t xml:space="preserve">2 contacteurs de porte arrêt ventilation (portes lat + AR) </t>
  </si>
  <si>
    <t>Commande cabine à affichage numérique de la température</t>
  </si>
  <si>
    <t>1 câble de 10 m avec 1 fiche mâle</t>
  </si>
  <si>
    <t>Temps recharge</t>
  </si>
  <si>
    <t xml:space="preserve">Autonomie </t>
  </si>
  <si>
    <t>A la charge du Locataire : 1 prise</t>
  </si>
  <si>
    <t xml:space="preserve">CARRIER </t>
  </si>
  <si>
    <t>Chauffage gaz chaud</t>
  </si>
  <si>
    <t xml:space="preserve">Fonctionnement Route et Secteur </t>
  </si>
  <si>
    <t>(220 V Monophasé)</t>
  </si>
  <si>
    <t>1 câble de 10 m</t>
  </si>
  <si>
    <t>(Classe A ou C) ou équivalent</t>
  </si>
  <si>
    <t>Hauteur sous évaporateur : 1750 mm</t>
  </si>
  <si>
    <t xml:space="preserve">THERMOKING </t>
  </si>
  <si>
    <t>Hauteur sous évaporateur : 1233 mm</t>
  </si>
  <si>
    <t>Puissance frigorifique sur route (à 2400 tr/min) : à 0°C = 1958 W / à -20°C = 1071 W</t>
  </si>
  <si>
    <t>Débit d'air : 800 m3/h</t>
  </si>
  <si>
    <t>E-200e Max 50 / R452A</t>
  </si>
  <si>
    <t>XARIOS 350T / R452A</t>
  </si>
  <si>
    <t>Puissance frigorifique sur route (à 2400 tr/min) : à 0°C = 3430 W / à -20°C = 1805 W</t>
  </si>
  <si>
    <t>Débit d'air : 1560 m3/h</t>
  </si>
  <si>
    <t>c_hayon elevateur</t>
  </si>
  <si>
    <t>Modèle</t>
  </si>
  <si>
    <t>Type</t>
  </si>
  <si>
    <t>Version</t>
  </si>
  <si>
    <t>Matière plateforme</t>
  </si>
  <si>
    <t>Dimension plateforme</t>
  </si>
  <si>
    <t>Accessoires plateforme</t>
  </si>
  <si>
    <t>Arrêtoirs</t>
  </si>
  <si>
    <t>Type commande</t>
  </si>
  <si>
    <t>Accessoires</t>
  </si>
  <si>
    <t>Indicateur batterie</t>
  </si>
  <si>
    <t>Fanions</t>
  </si>
  <si>
    <t>Feux de sécurité</t>
  </si>
  <si>
    <t>Prédispo pour interrupteur hayon en cabine</t>
  </si>
  <si>
    <t>Cable connexion batterie</t>
  </si>
  <si>
    <t xml:space="preserve">DHOLLANDIA </t>
  </si>
  <si>
    <t>DH-LMA.08</t>
  </si>
  <si>
    <t>Rabattable</t>
  </si>
  <si>
    <t>Puissance 750 Kg</t>
  </si>
  <si>
    <t xml:space="preserve">Plateforme aluminium </t>
  </si>
  <si>
    <t xml:space="preserve">profondeur 1450 mm </t>
  </si>
  <si>
    <t>2 arrêtoirs de rolls manuels</t>
  </si>
  <si>
    <t>Boitier de commande extérieur avec prise et commande filaire + Commande intérieure extra-plate</t>
  </si>
  <si>
    <t>Vigil batterie</t>
  </si>
  <si>
    <t>(   ) : Longeur de caisse 3524 mm (CU : -26kg)</t>
  </si>
  <si>
    <t>Système audio avec écran multimédia Easy Link 8''sans navigation</t>
  </si>
  <si>
    <t xml:space="preserve">Système de surveillance de la pression des pneus  </t>
  </si>
  <si>
    <t>C_KANGOO-PC</t>
  </si>
  <si>
    <t>Radio Bluetooth écran tactile 7'' compatible Androïd auto et Apple Carplay / USB</t>
  </si>
  <si>
    <t>Siège conducteur suspendu avec accoudoir</t>
  </si>
  <si>
    <t>Mesure de la pression des pneus</t>
  </si>
  <si>
    <t>Feux et essuies glaces automatique</t>
  </si>
  <si>
    <t xml:space="preserve">Phares avant antibrouillards </t>
  </si>
  <si>
    <t>Géolocalisation SAMSARA</t>
  </si>
  <si>
    <t>GPS</t>
  </si>
  <si>
    <t>Géolocalisation SAMSARA – Pack Evolution</t>
  </si>
  <si>
    <t>C_DAILY_3.5_CC</t>
  </si>
  <si>
    <t>HL_RB_DH-LMA08_750kg_1450mm</t>
  </si>
  <si>
    <t>Key Out</t>
  </si>
  <si>
    <t>Key Out avec contact de porte arrêt ventilation</t>
  </si>
  <si>
    <t>Pneu neige (la paire)</t>
  </si>
  <si>
    <t>CH_KANGOO-PC_205-60R16_GSRII-SODEXO</t>
  </si>
  <si>
    <t>Vignette Crit’Air 2</t>
  </si>
  <si>
    <t>Pesée embarquée (MPE)</t>
  </si>
  <si>
    <t>CF_DAILY_S-C4-1950-COMPASS_OPTIONS</t>
  </si>
  <si>
    <t>Rideau à lanières arrière (CU : -19 kg)</t>
  </si>
  <si>
    <t>Rideau à lanières latéral (CU : -6 kg)</t>
  </si>
  <si>
    <t>Rideau d'air arrière (CU : -16kg)</t>
  </si>
  <si>
    <t>CF_KANGOO-PC01</t>
  </si>
  <si>
    <t>CF_KANGOO-PC01-SODEXO</t>
  </si>
  <si>
    <t>Rideau fixe à lanières antidéperdition porte arrière</t>
  </si>
  <si>
    <t>Total covering</t>
  </si>
  <si>
    <t>2 Barres à étais</t>
  </si>
  <si>
    <t>1 niveau d'étagères droite et gauche profondeur 500 mm (CU : -35 kg) - Hauteur à préciser</t>
  </si>
  <si>
    <t xml:space="preserve">1 sangle d'arrimage </t>
  </si>
  <si>
    <t>1 niveau d’étagères relevables D et G  - Profondeur 500 mm (CU : - 22 kg)</t>
  </si>
  <si>
    <t>2 niveaux d’étagères relevables D et G  - Profondeur 500 mm (CU : - 37 kg)</t>
  </si>
  <si>
    <t>Caillebotis (CU : - 3 kg)</t>
  </si>
  <si>
    <t>Rampe Altec AOS-W-300 (CU : - 30 kg)</t>
  </si>
  <si>
    <t>1 niveau d’étagères relevables D et G – Profondeur 400 mm (CU : - 22kg)</t>
  </si>
  <si>
    <t>1 niveau de rail d’arrimage D et G + 1 sangle (CU : -9 kg)</t>
  </si>
  <si>
    <t>Rideau à lanières AR (CU : - 6 kg)</t>
  </si>
  <si>
    <t>Rideau d’air  AR (CU : - 16 kg)</t>
  </si>
  <si>
    <t>Plancher intermédiaire complet  (CU : - 27 kg)</t>
  </si>
  <si>
    <t>1 niveau d’étagères relevables D et G  - Profondeur 400 mm (CU : - 22 kg)</t>
  </si>
  <si>
    <t>2 niveaux d’étagères relevables D et G  - Profondeur 400 mm (CU : - 37 kg)</t>
  </si>
  <si>
    <t>Rideau à lanières AR (CU : - 8 kg)</t>
  </si>
  <si>
    <t>Plateforme hayon 1600 mm  sur hayon rabattable 750 kg avec plateforme alu 1450 mm (CU : -20 Kg)</t>
  </si>
  <si>
    <t>35C14 CF - SODEXO</t>
  </si>
  <si>
    <t>KOCF - API-OPTIONS</t>
  </si>
  <si>
    <t>C_KANGOO-PC01-API-OPTIONS</t>
  </si>
  <si>
    <t>M_KANGOO-PC01-API-OPTIONS</t>
  </si>
  <si>
    <t>CH_KANGOO-PC_205-60R16-API-OPTIONS</t>
  </si>
  <si>
    <t>CF_KANGOO-PC01-API-OPTIONS</t>
  </si>
  <si>
    <t>KOCF - COMPASS-OPTIONS</t>
  </si>
  <si>
    <t>C_KANGOO-PC01-COMPASS-OPTIONS</t>
  </si>
  <si>
    <t>M_KANGOO-PC01-COMPASS-OPTIONS</t>
  </si>
  <si>
    <t>CF_KANGOO-PC01-COMPASS-OPTIONS</t>
  </si>
  <si>
    <t>KOCF - SODEXO-OPTIONS</t>
  </si>
  <si>
    <t>C_KANGOO-PC01-SODEXO-OPTIONS</t>
  </si>
  <si>
    <t>M_KANGOO-PC01-SODEXO-OPTIONS</t>
  </si>
  <si>
    <t>CH_KANGOO-PC_205-60R16-SODEXO-OPTIONS</t>
  </si>
  <si>
    <t>CF_KANGOO-PC01-SODEXO-OPTIONS</t>
  </si>
  <si>
    <t>35C14 CF - COMPASS-OPTIONS</t>
  </si>
  <si>
    <t>C_DAILY_3.5_CC04-COMPASS-OPTIONS</t>
  </si>
  <si>
    <t>35C14 CF - SODEXO-OPTIONS</t>
  </si>
  <si>
    <t>FS_PF-SODEXO</t>
  </si>
  <si>
    <t>CH_DAILY-CC_35C_195-75R16_ADB_GSRII_86L_RS-SODEXO</t>
  </si>
  <si>
    <t>CF_DAILY_C4-1950-SODEXO</t>
  </si>
  <si>
    <t>GF_X350T_A_C_1560_1750mm_Cable10m-SODEXO</t>
  </si>
  <si>
    <t>HL_RB_DH-LMA08_750kg_1450mm-SODEXO</t>
  </si>
  <si>
    <t>CF_DAILY_S-C4-1950-SODEXO-OPTIONS</t>
  </si>
  <si>
    <t>GF_X350T_A_C_1560_1750mm_Cable10m-SODEXO-OPTIONS</t>
  </si>
  <si>
    <t>HL_RB_DH-LMA08_750kg_1450mm-SODEXO-OPTIONS</t>
  </si>
  <si>
    <t>GF_E200_A_C_1233mm_Cable10m-COMPASS-OPTIONS</t>
  </si>
  <si>
    <t>GF_X350T_A_C_1560_1750mm_Cable10m-COMPASS-OPTIONS</t>
  </si>
  <si>
    <t>M_DAILY_2.3_136-HD-€VI-E_Bat105Ah_BV.HIMATIC-COMPASS-OPTIONS</t>
  </si>
  <si>
    <t>HL_RB_DH-LMA08_750kg_1450mm-API-OPTIONS</t>
  </si>
  <si>
    <t>M_DAILY_2.3_136-HD-€VI-E_Bat105Ah_BV.HIMATIC-SODEXO-OPTIONS</t>
  </si>
  <si>
    <t>CH_DAILY-CC_35C_195-75R16_ADB_GSRII_86L-SODEXO-OPTIONS</t>
  </si>
  <si>
    <t>M_DAILY_2.3_136-HD-€VI-E_Bat105Ah_BV.HIMATIC-SODEXO</t>
  </si>
  <si>
    <t>C_DAILY_3.5_CC-SODEXO</t>
  </si>
  <si>
    <t>EURO VI-E</t>
  </si>
  <si>
    <t>2,3L-HD</t>
  </si>
  <si>
    <t xml:space="preserve">MPI </t>
  </si>
  <si>
    <t>136 ch</t>
  </si>
  <si>
    <t>B.V. Hi-Matic (auto) à 8 rapports Av. + 1 Ar.</t>
  </si>
  <si>
    <t>Batterie : 105 Ah</t>
  </si>
  <si>
    <t>Alternateur : 220 A</t>
  </si>
  <si>
    <t>Run lock</t>
  </si>
  <si>
    <t>GF_E200_A_C_1233mm_Cable10m-SODEXO-OPTIONS</t>
  </si>
  <si>
    <t>CARRIER PULSOR 400 à la place du CARRIER XARIOS 350T (CU : 0 kg)</t>
  </si>
  <si>
    <t>Enregistreur de température DATACOLD 300 R + imprimante</t>
  </si>
  <si>
    <t>Enregistrement de température Touch Log PREMIUM avec imprimante</t>
  </si>
  <si>
    <t>Enregsitreur de température Touch Print PREMIUM avec imprimante</t>
  </si>
  <si>
    <t xml:space="preserve">1 sonde piqueuse pour enregistreur </t>
  </si>
  <si>
    <t>5 Rangs de rails sur toute la longueur, répartis sur la largeur, rails en tôle pliée, épaisseur 20/10, poinçonnage Ø25mm au pas de 40mm pour barres télescopiques. Rails non débouchant vers l’extérieur</t>
  </si>
  <si>
    <t>6 Rangs de rails sur toute la longueur, répartis sur la largeur, rails en tôle pliée, épaisseur 20/10, poinçonnage Ø25mm au pas de 40mm pour barres télescopiques. Rails non débouchant vers l’extérieur</t>
  </si>
  <si>
    <t>C_DAILY_3.5_CC04-SODEXO-OPTIONS</t>
  </si>
  <si>
    <t>C_Hayon elevateur-OPTIONS</t>
  </si>
  <si>
    <t>C_Caisse-OPTIONS</t>
  </si>
  <si>
    <t>C_Groupe frigo-OPTIONS</t>
  </si>
  <si>
    <t>C_Chassis-OPTIONS</t>
  </si>
  <si>
    <t>M_moteur-OPTIONS</t>
  </si>
  <si>
    <t>C_Cabine-OPTIONS</t>
  </si>
  <si>
    <t>Image Vehicule</t>
  </si>
  <si>
    <t>Image Client</t>
  </si>
  <si>
    <t>Image Carburant</t>
  </si>
  <si>
    <t>S:\Produits\BASE DE DONNEE_FICHES TECHNIQUES\BASE_DE_DONNEE_WFC - CG\Image Vehicule\RENAULT_KANGOO_KOCF01-E200-DEFLECTEUR.jpg</t>
  </si>
  <si>
    <t>S:\Produits\BASE DE DONNEE_FICHES TECHNIQUES\BASE_DE_DONNEE_WFC - CG\Image Vehicule\IVECO_DAILY_35C-CF04.jpg</t>
  </si>
  <si>
    <t>S:\Produits\BASE DE DONNEE_FICHES TECHNIQUES\BASE_DE_DONNEE_WFC - CG\Image Client\API.jpg</t>
  </si>
  <si>
    <t>\\172.41.0.50\donnees\Produits\BASE DE DONNEE_FICHES TECHNIQUES\BASE_DE_DONNEE_WFC - CG\Image Client\COMPASS.jpg</t>
  </si>
  <si>
    <t>\\172.41.0.50\donnees\Produits\BASE DE DONNEE_FICHES TECHNIQUES\BASE_DE_DONNEE_WFC - CG\Image Client\SODEXO.jpg</t>
  </si>
  <si>
    <t>\\172.41.0.50\donnees\Produits\BASE DE DONNEE_FICHES TECHNIQUES\BASE_DE_DONNEE_WFC - CG\Image Carburant\DIESEL.jpg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</si>
</sst>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.00\ &quot;F&quot;_-;\-* #,##0.00\ &quot;F&quot;_-;_-* &quot;-&quot;??\ &quot;F&quot;_-;_-@_-"/>
    <numFmt numFmtId="165" formatCode="_(* #,##0.00_);_(* \(#,##0.00\);_(* &quot;-&quot;??_);_(@_)"/>
  </numFmts>
  <fonts count="3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B050"/>
      <name val="Calibri"/>
      <family val="2"/>
      <scheme val="minor"/>
    </font>
    <font>
      <sz val="8"/>
      <color theme="9" tint="-0.499984740745262"/>
      <name val="Calibri"/>
      <family val="2"/>
      <scheme val="minor"/>
    </font>
    <font>
      <sz val="8"/>
      <color rgb="FF0070C0"/>
      <name val="Calibri"/>
      <family val="2"/>
      <scheme val="minor"/>
    </font>
    <font>
      <sz val="8"/>
      <color rgb="FF7030A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92D050"/>
      <name val="Calibri"/>
      <family val="2"/>
      <scheme val="minor"/>
    </font>
    <font>
      <sz val="8"/>
      <color theme="10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name val="Calibri"/>
      <family val="2"/>
      <scheme val="minor"/>
    </font>
    <font>
      <b/>
      <u/>
      <sz val="18"/>
      <color rgb="FF00B050"/>
      <name val="Calibri"/>
      <family val="2"/>
      <scheme val="minor"/>
    </font>
    <font>
      <sz val="8"/>
      <name val="Calibri"/>
      <family val="2"/>
    </font>
    <font>
      <i/>
      <sz val="8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08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  <xf numFmtId="0" fontId="4" fillId="0" borderId="3" applyNumberFormat="0" applyFill="0" applyAlignment="0" applyProtection="0"/>
    <xf numFmtId="0" fontId="5" fillId="0" borderId="4" applyNumberFormat="0" applyFill="0" applyAlignment="0" applyProtection="0"/>
    <xf numFmtId="0" fontId="6" fillId="0" borderId="5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6" applyNumberFormat="0" applyAlignment="0" applyProtection="0"/>
    <xf numFmtId="0" fontId="11" fillId="6" borderId="7" applyNumberFormat="0" applyAlignment="0" applyProtection="0"/>
    <xf numFmtId="0" fontId="12" fillId="6" borderId="6" applyNumberFormat="0" applyAlignment="0" applyProtection="0"/>
    <xf numFmtId="0" fontId="13" fillId="0" borderId="8" applyNumberFormat="0" applyFill="0" applyAlignment="0" applyProtection="0"/>
    <xf numFmtId="0" fontId="14" fillId="7" borderId="9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1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9" fillId="0" borderId="0"/>
    <xf numFmtId="0" fontId="20" fillId="0" borderId="0" applyNumberFormat="0" applyFill="0" applyBorder="0" applyAlignment="0" applyProtection="0">
      <alignment vertical="top"/>
      <protection locked="0"/>
    </xf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19" fillId="0" borderId="0"/>
    <xf numFmtId="0" fontId="19" fillId="0" borderId="0"/>
    <xf numFmtId="0" fontId="2" fillId="0" borderId="0"/>
    <xf numFmtId="44" fontId="19" fillId="0" borderId="0" applyFont="0" applyFill="0" applyBorder="0" applyAlignment="0" applyProtection="0"/>
    <xf numFmtId="0" fontId="19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9" fillId="0" borderId="0"/>
    <xf numFmtId="0" fontId="20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1" fillId="0" borderId="0"/>
    <xf numFmtId="0" fontId="22" fillId="0" borderId="0"/>
    <xf numFmtId="0" fontId="23" fillId="0" borderId="0"/>
    <xf numFmtId="0" fontId="21" fillId="0" borderId="0"/>
    <xf numFmtId="165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44" fontId="19" fillId="0" borderId="0" applyFont="0" applyFill="0" applyBorder="0" applyAlignment="0" applyProtection="0"/>
    <xf numFmtId="0" fontId="21" fillId="0" borderId="0"/>
    <xf numFmtId="0" fontId="21" fillId="0" borderId="0"/>
    <xf numFmtId="43" fontId="2" fillId="0" borderId="0" applyFont="0" applyFill="0" applyBorder="0" applyAlignment="0" applyProtection="0"/>
    <xf numFmtId="44" fontId="19" fillId="0" borderId="0" applyFont="0" applyFill="0" applyBorder="0" applyAlignment="0" applyProtection="0"/>
  </cellStyleXfs>
  <cellXfs count="109">
    <xf numFmtId="0" fontId="0" fillId="0" borderId="0" xfId="0"/>
    <xf numFmtId="0" fontId="26" fillId="33" borderId="1" xfId="0" applyFont="1" applyFill="1" applyBorder="1" applyAlignment="1" applyProtection="1">
      <alignment horizontal="center" vertical="center" wrapText="1"/>
      <protection hidden="1"/>
    </xf>
    <xf numFmtId="0" fontId="27" fillId="34" borderId="0" xfId="0" applyFont="1" applyFill="1" applyAlignment="1">
      <alignment horizontal="center" vertical="center" wrapText="1"/>
    </xf>
    <xf numFmtId="0" fontId="27" fillId="34" borderId="1" xfId="0" applyFont="1" applyFill="1" applyBorder="1" applyAlignment="1" applyProtection="1">
      <alignment horizontal="center" vertical="center" wrapText="1"/>
      <protection hidden="1"/>
    </xf>
    <xf numFmtId="0" fontId="26" fillId="36" borderId="1" xfId="0" applyFont="1" applyFill="1" applyBorder="1" applyAlignment="1" applyProtection="1">
      <alignment horizontal="center" vertical="center" wrapText="1"/>
      <protection hidden="1"/>
    </xf>
    <xf numFmtId="0" fontId="28" fillId="36" borderId="1" xfId="0" applyFont="1" applyFill="1" applyBorder="1" applyAlignment="1" applyProtection="1">
      <alignment horizontal="center" vertical="center" wrapText="1"/>
      <protection hidden="1"/>
    </xf>
    <xf numFmtId="0" fontId="26" fillId="36" borderId="1" xfId="0" quotePrefix="1" applyFont="1" applyFill="1" applyBorder="1" applyAlignment="1" applyProtection="1">
      <alignment horizontal="center" vertical="center" wrapText="1"/>
      <protection hidden="1"/>
    </xf>
    <xf numFmtId="0" fontId="26" fillId="36" borderId="1" xfId="0" applyFont="1" applyFill="1" applyBorder="1" applyAlignment="1">
      <alignment horizontal="center" vertical="center" wrapText="1"/>
    </xf>
    <xf numFmtId="0" fontId="25" fillId="36" borderId="1" xfId="0" applyFont="1" applyFill="1" applyBorder="1" applyAlignment="1" applyProtection="1">
      <alignment horizontal="center" vertical="center" wrapText="1"/>
      <protection hidden="1"/>
    </xf>
    <xf numFmtId="0" fontId="29" fillId="33" borderId="1" xfId="0" applyFont="1" applyFill="1" applyBorder="1" applyAlignment="1" applyProtection="1">
      <alignment horizontal="center" vertical="center" wrapText="1"/>
      <protection hidden="1"/>
    </xf>
    <xf numFmtId="0" fontId="28" fillId="36" borderId="1" xfId="0" quotePrefix="1" applyFont="1" applyFill="1" applyBorder="1" applyAlignment="1" applyProtection="1">
      <alignment horizontal="center" vertical="center" wrapText="1"/>
      <protection hidden="1"/>
    </xf>
    <xf numFmtId="0" fontId="28" fillId="36" borderId="1" xfId="0" applyFont="1" applyFill="1" applyBorder="1" applyAlignment="1" applyProtection="1">
      <alignment horizontal="left" vertical="center" wrapText="1"/>
      <protection hidden="1"/>
    </xf>
    <xf numFmtId="0" fontId="28" fillId="36" borderId="1" xfId="0" applyFont="1" applyFill="1" applyBorder="1" applyAlignment="1">
      <alignment horizontal="center" vertical="center" wrapText="1"/>
    </xf>
    <xf numFmtId="0" fontId="29" fillId="36" borderId="1" xfId="0" applyFont="1" applyFill="1" applyBorder="1" applyAlignment="1" applyProtection="1">
      <alignment horizontal="center" vertical="center" wrapText="1"/>
      <protection hidden="1"/>
    </xf>
    <xf numFmtId="0" fontId="29" fillId="36" borderId="1" xfId="0" quotePrefix="1" applyFont="1" applyFill="1" applyBorder="1" applyAlignment="1" applyProtection="1">
      <alignment horizontal="center" vertical="center" wrapText="1"/>
      <protection hidden="1"/>
    </xf>
    <xf numFmtId="0" fontId="29" fillId="36" borderId="1" xfId="0" applyFont="1" applyFill="1" applyBorder="1" applyAlignment="1" applyProtection="1">
      <alignment horizontal="left" vertical="center" wrapText="1"/>
      <protection hidden="1"/>
    </xf>
    <xf numFmtId="0" fontId="29" fillId="36" borderId="1" xfId="0" applyFont="1" applyFill="1" applyBorder="1" applyAlignment="1">
      <alignment horizontal="center" vertical="center" wrapText="1"/>
    </xf>
    <xf numFmtId="0" fontId="29" fillId="36" borderId="1" xfId="0" applyFont="1" applyFill="1" applyBorder="1" applyAlignment="1" applyProtection="1">
      <alignment horizontal="center" vertical="center"/>
      <protection hidden="1"/>
    </xf>
    <xf numFmtId="0" fontId="30" fillId="36" borderId="1" xfId="0" applyFont="1" applyFill="1" applyBorder="1" applyAlignment="1" applyProtection="1">
      <alignment horizontal="center" vertical="center" wrapText="1"/>
      <protection hidden="1"/>
    </xf>
    <xf numFmtId="0" fontId="26" fillId="36" borderId="1" xfId="0" applyFont="1" applyFill="1" applyBorder="1" applyAlignment="1" applyProtection="1">
      <alignment horizontal="left" vertical="center" wrapText="1"/>
      <protection hidden="1"/>
    </xf>
    <xf numFmtId="0" fontId="27" fillId="34" borderId="1" xfId="0" applyFont="1" applyFill="1" applyBorder="1" applyAlignment="1">
      <alignment horizontal="center" vertical="center" wrapText="1"/>
    </xf>
    <xf numFmtId="0" fontId="29" fillId="36" borderId="1" xfId="0" applyFont="1" applyFill="1" applyBorder="1" applyAlignment="1">
      <alignment horizontal="left" vertical="center" wrapText="1"/>
    </xf>
    <xf numFmtId="0" fontId="31" fillId="36" borderId="1" xfId="0" applyFont="1" applyFill="1" applyBorder="1" applyAlignment="1" applyProtection="1">
      <alignment horizontal="left" vertical="center" wrapText="1"/>
      <protection hidden="1"/>
    </xf>
    <xf numFmtId="0" fontId="25" fillId="36" borderId="1" xfId="0" applyFont="1" applyFill="1" applyBorder="1" applyAlignment="1">
      <alignment horizontal="center" vertical="center" wrapText="1"/>
    </xf>
    <xf numFmtId="0" fontId="27" fillId="34" borderId="1" xfId="0" applyFont="1" applyFill="1" applyBorder="1" applyAlignment="1" applyProtection="1">
      <alignment horizontal="center" vertical="center"/>
      <protection hidden="1"/>
    </xf>
    <xf numFmtId="0" fontId="27" fillId="34" borderId="0" xfId="0" applyFont="1" applyFill="1" applyAlignment="1">
      <alignment horizontal="center" vertical="center"/>
    </xf>
    <xf numFmtId="0" fontId="27" fillId="34" borderId="1" xfId="0" applyFont="1" applyFill="1" applyBorder="1" applyAlignment="1">
      <alignment horizontal="center" vertical="center"/>
    </xf>
    <xf numFmtId="0" fontId="27" fillId="34" borderId="12" xfId="0" applyFont="1" applyFill="1" applyBorder="1" applyAlignment="1">
      <alignment horizontal="center" vertical="center"/>
    </xf>
    <xf numFmtId="0" fontId="27" fillId="34" borderId="13" xfId="0" applyFont="1" applyFill="1" applyBorder="1" applyAlignment="1">
      <alignment horizontal="center" vertical="center"/>
    </xf>
    <xf numFmtId="1" fontId="27" fillId="34" borderId="1" xfId="0" applyNumberFormat="1" applyFont="1" applyFill="1" applyBorder="1" applyAlignment="1" applyProtection="1">
      <alignment horizontal="center" vertical="center" wrapText="1"/>
      <protection hidden="1"/>
    </xf>
    <xf numFmtId="0" fontId="26" fillId="36" borderId="1" xfId="0" applyFont="1" applyFill="1" applyBorder="1" applyAlignment="1" applyProtection="1">
      <alignment horizontal="center" vertical="center"/>
      <protection hidden="1"/>
    </xf>
    <xf numFmtId="0" fontId="26" fillId="36" borderId="1" xfId="1" applyFont="1" applyFill="1" applyBorder="1" applyAlignment="1" applyProtection="1">
      <alignment horizontal="left" vertical="center" wrapText="1"/>
      <protection hidden="1"/>
    </xf>
    <xf numFmtId="0" fontId="29" fillId="36" borderId="1" xfId="1" applyFont="1" applyFill="1" applyBorder="1" applyAlignment="1" applyProtection="1">
      <alignment horizontal="left" vertical="center" wrapText="1"/>
      <protection hidden="1"/>
    </xf>
    <xf numFmtId="0" fontId="32" fillId="36" borderId="1" xfId="1" applyFont="1" applyFill="1" applyBorder="1" applyAlignment="1" applyProtection="1">
      <alignment horizontal="left" vertical="center" wrapText="1"/>
      <protection hidden="1"/>
    </xf>
    <xf numFmtId="0" fontId="27" fillId="34" borderId="13" xfId="0" applyFont="1" applyFill="1" applyBorder="1" applyAlignment="1">
      <alignment horizontal="center" vertical="center" wrapText="1"/>
    </xf>
    <xf numFmtId="0" fontId="24" fillId="0" borderId="1" xfId="0" applyFont="1" applyBorder="1" applyAlignment="1" applyProtection="1">
      <alignment horizontal="center" vertical="center" wrapText="1"/>
      <protection hidden="1"/>
    </xf>
    <xf numFmtId="0" fontId="24" fillId="0" borderId="1" xfId="0" applyFont="1" applyBorder="1" applyAlignment="1" applyProtection="1">
      <alignment horizontal="center" vertical="center"/>
      <protection hidden="1"/>
    </xf>
    <xf numFmtId="0" fontId="28" fillId="37" borderId="1" xfId="0" applyFont="1" applyFill="1" applyBorder="1" applyAlignment="1" applyProtection="1">
      <alignment horizontal="center" vertical="center" wrapText="1"/>
      <protection hidden="1"/>
    </xf>
    <xf numFmtId="1" fontId="28" fillId="37" borderId="1" xfId="0" applyNumberFormat="1" applyFont="1" applyFill="1" applyBorder="1" applyAlignment="1" applyProtection="1">
      <alignment horizontal="center" vertical="center" wrapText="1"/>
      <protection hidden="1"/>
    </xf>
    <xf numFmtId="0" fontId="29" fillId="37" borderId="1" xfId="0" applyFont="1" applyFill="1" applyBorder="1" applyAlignment="1" applyProtection="1">
      <alignment horizontal="center" vertical="center" wrapText="1"/>
      <protection hidden="1"/>
    </xf>
    <xf numFmtId="0" fontId="27" fillId="34" borderId="2" xfId="0" applyFont="1" applyFill="1" applyBorder="1" applyAlignment="1" applyProtection="1">
      <alignment horizontal="center" vertical="center" wrapText="1"/>
      <protection hidden="1"/>
    </xf>
    <xf numFmtId="1" fontId="27" fillId="34" borderId="12" xfId="0" applyNumberFormat="1" applyFont="1" applyFill="1" applyBorder="1" applyAlignment="1">
      <alignment horizontal="center" vertical="center"/>
    </xf>
    <xf numFmtId="0" fontId="27" fillId="34" borderId="14" xfId="0" applyFont="1" applyFill="1" applyBorder="1" applyAlignment="1">
      <alignment horizontal="center" vertical="center" wrapText="1"/>
    </xf>
    <xf numFmtId="0" fontId="33" fillId="34" borderId="0" xfId="0" applyFont="1" applyFill="1" applyAlignment="1">
      <alignment horizontal="center"/>
    </xf>
    <xf numFmtId="0" fontId="24" fillId="0" borderId="13" xfId="0" applyFont="1" applyBorder="1" applyAlignment="1" applyProtection="1">
      <alignment horizontal="center" vertical="center"/>
      <protection hidden="1"/>
    </xf>
    <xf numFmtId="0" fontId="24" fillId="0" borderId="1" xfId="0" quotePrefix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0" fontId="27" fillId="34" borderId="1" xfId="0" applyFont="1" applyFill="1" applyBorder="1" applyAlignment="1" applyProtection="1">
      <alignment horizontal="left" vertical="center"/>
      <protection hidden="1"/>
    </xf>
    <xf numFmtId="0" fontId="2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35" borderId="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35" borderId="16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35" borderId="17" xfId="0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 wrapText="1"/>
    </xf>
    <xf numFmtId="0" fontId="15" fillId="35" borderId="16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vertical="top" wrapText="1"/>
    </xf>
    <xf numFmtId="0" fontId="34" fillId="0" borderId="0" xfId="0" applyFont="1"/>
    <xf numFmtId="0" fontId="24" fillId="0" borderId="0" xfId="0" applyFont="1" applyAlignment="1">
      <alignment vertical="top"/>
    </xf>
    <xf numFmtId="0" fontId="24" fillId="0" borderId="0" xfId="0" applyFont="1" applyAlignment="1">
      <alignment horizontal="left" vertical="top"/>
    </xf>
    <xf numFmtId="0" fontId="24" fillId="0" borderId="0" xfId="0" applyFont="1" applyAlignment="1">
      <alignment horizontal="left" vertical="top" wrapText="1"/>
    </xf>
    <xf numFmtId="0" fontId="24" fillId="0" borderId="0" xfId="0" applyFont="1" applyAlignment="1">
      <alignment vertical="top" wrapText="1"/>
    </xf>
    <xf numFmtId="0" fontId="24" fillId="0" borderId="1" xfId="0" applyFont="1" applyBorder="1" applyAlignment="1">
      <alignment horizontal="left" vertical="top" wrapText="1"/>
    </xf>
    <xf numFmtId="0" fontId="24" fillId="0" borderId="1" xfId="0" applyFont="1" applyBorder="1" applyAlignment="1" applyProtection="1">
      <alignment horizontal="left" vertical="top"/>
      <protection hidden="1"/>
    </xf>
    <xf numFmtId="0" fontId="24" fillId="0" borderId="1" xfId="0" applyFont="1" applyBorder="1" applyAlignment="1">
      <alignment vertical="top"/>
    </xf>
    <xf numFmtId="0" fontId="24" fillId="0" borderId="1" xfId="0" applyFont="1" applyBorder="1" applyAlignment="1" applyProtection="1">
      <alignment horizontal="left" vertical="top" wrapText="1"/>
      <protection hidden="1"/>
    </xf>
    <xf numFmtId="0" fontId="24" fillId="0" borderId="1" xfId="0" applyFont="1" applyBorder="1" applyAlignment="1" applyProtection="1">
      <alignment vertical="top"/>
      <protection hidden="1"/>
    </xf>
    <xf numFmtId="0" fontId="24" fillId="0" borderId="1" xfId="0" applyFont="1" applyBorder="1" applyAlignment="1" applyProtection="1">
      <alignment vertical="top" wrapText="1"/>
      <protection hidden="1"/>
    </xf>
    <xf numFmtId="0" fontId="37" fillId="0" borderId="1" xfId="0" applyFont="1" applyBorder="1" applyAlignment="1">
      <alignment vertical="top" wrapText="1"/>
    </xf>
    <xf numFmtId="0" fontId="36" fillId="0" borderId="1" xfId="0" applyFont="1" applyBorder="1" applyAlignment="1">
      <alignment vertical="top" wrapText="1"/>
    </xf>
    <xf numFmtId="0" fontId="24" fillId="0" borderId="1" xfId="0" quotePrefix="1" applyFont="1" applyBorder="1" applyAlignment="1">
      <alignment horizontal="left" vertical="top" wrapText="1"/>
    </xf>
    <xf numFmtId="14" fontId="24" fillId="0" borderId="1" xfId="0" applyNumberFormat="1" applyFont="1" applyBorder="1" applyAlignment="1">
      <alignment horizontal="center" vertical="top"/>
    </xf>
    <xf numFmtId="0" fontId="24" fillId="0" borderId="22" xfId="0" applyFont="1" applyBorder="1" applyAlignment="1">
      <alignment vertical="top" wrapText="1"/>
    </xf>
    <xf numFmtId="14" fontId="24" fillId="0" borderId="1" xfId="0" applyNumberFormat="1" applyFont="1" applyBorder="1" applyAlignment="1">
      <alignment horizontal="center" vertical="top" wrapText="1"/>
    </xf>
    <xf numFmtId="0" fontId="24" fillId="0" borderId="1" xfId="0" quotePrefix="1" applyFont="1" applyBorder="1" applyAlignment="1">
      <alignment vertical="top" wrapText="1"/>
    </xf>
    <xf numFmtId="0" fontId="24" fillId="0" borderId="12" xfId="0" applyFont="1" applyBorder="1" applyAlignment="1" applyProtection="1">
      <alignment horizontal="center" vertical="center" wrapText="1"/>
      <protection hidden="1"/>
    </xf>
    <xf numFmtId="0" fontId="24" fillId="0" borderId="13" xfId="0" applyFont="1" applyBorder="1" applyAlignment="1" applyProtection="1">
      <alignment horizontal="center" vertical="center" wrapText="1"/>
      <protection hidden="1"/>
    </xf>
    <xf numFmtId="0" fontId="24" fillId="0" borderId="1" xfId="0" applyFont="1" applyBorder="1" applyAlignment="1" applyProtection="1">
      <alignment horizontal="left" vertical="center" wrapText="1"/>
      <protection hidden="1"/>
    </xf>
    <xf numFmtId="0" fontId="24" fillId="0" borderId="1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24" fillId="0" borderId="12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34" fillId="0" borderId="1" xfId="0" applyFont="1" applyBorder="1" applyAlignment="1">
      <alignment horizontal="center" vertical="center"/>
    </xf>
    <xf numFmtId="0" fontId="1" fillId="0" borderId="1" xfId="1" applyFill="1" applyBorder="1" applyAlignment="1" applyProtection="1">
      <alignment horizontal="left" vertical="center" wrapText="1"/>
      <protection hidden="1"/>
    </xf>
    <xf numFmtId="0" fontId="27" fillId="34" borderId="12" xfId="0" applyFont="1" applyFill="1" applyBorder="1" applyAlignment="1">
      <alignment horizontal="center" vertical="center"/>
    </xf>
    <xf numFmtId="0" fontId="27" fillId="34" borderId="1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</cellXfs>
  <cellStyles count="408">
    <cellStyle name="20 % - Accent1" xfId="20" builtinId="30" customBuiltin="1"/>
    <cellStyle name="20 % - Accent1 2" xfId="72" xr:uid="{00000000-0005-0000-0000-000001000000}"/>
    <cellStyle name="20 % - Accent1 2 2" xfId="105" xr:uid="{00000000-0005-0000-0000-000002000000}"/>
    <cellStyle name="20 % - Accent1 2 2 2" xfId="240" xr:uid="{00000000-0005-0000-0000-000003000000}"/>
    <cellStyle name="20 % - Accent1 2 2 2 2" xfId="373" xr:uid="{00000000-0005-0000-0000-000004000000}"/>
    <cellStyle name="20 % - Accent1 2 2 3" xfId="171" xr:uid="{00000000-0005-0000-0000-000005000000}"/>
    <cellStyle name="20 % - Accent1 2 2 4" xfId="306" xr:uid="{00000000-0005-0000-0000-000006000000}"/>
    <cellStyle name="20 % - Accent1 2 3" xfId="207" xr:uid="{00000000-0005-0000-0000-000007000000}"/>
    <cellStyle name="20 % - Accent1 2 3 2" xfId="340" xr:uid="{00000000-0005-0000-0000-000008000000}"/>
    <cellStyle name="20 % - Accent1 2 4" xfId="138" xr:uid="{00000000-0005-0000-0000-000009000000}"/>
    <cellStyle name="20 % - Accent1 2 5" xfId="273" xr:uid="{00000000-0005-0000-0000-00000A000000}"/>
    <cellStyle name="20 % - Accent1 3" xfId="88" xr:uid="{00000000-0005-0000-0000-00000B000000}"/>
    <cellStyle name="20 % - Accent1 3 2" xfId="223" xr:uid="{00000000-0005-0000-0000-00000C000000}"/>
    <cellStyle name="20 % - Accent1 3 2 2" xfId="356" xr:uid="{00000000-0005-0000-0000-00000D000000}"/>
    <cellStyle name="20 % - Accent1 3 3" xfId="154" xr:uid="{00000000-0005-0000-0000-00000E000000}"/>
    <cellStyle name="20 % - Accent1 3 4" xfId="289" xr:uid="{00000000-0005-0000-0000-00000F000000}"/>
    <cellStyle name="20 % - Accent1 4" xfId="188" xr:uid="{00000000-0005-0000-0000-000010000000}"/>
    <cellStyle name="20 % - Accent1 4 2" xfId="323" xr:uid="{00000000-0005-0000-0000-000011000000}"/>
    <cellStyle name="20 % - Accent1 5" xfId="121" xr:uid="{00000000-0005-0000-0000-000012000000}"/>
    <cellStyle name="20 % - Accent1 6" xfId="256" xr:uid="{00000000-0005-0000-0000-000013000000}"/>
    <cellStyle name="20 % - Accent2" xfId="24" builtinId="34" customBuiltin="1"/>
    <cellStyle name="20 % - Accent2 2" xfId="74" xr:uid="{00000000-0005-0000-0000-000015000000}"/>
    <cellStyle name="20 % - Accent2 2 2" xfId="107" xr:uid="{00000000-0005-0000-0000-000016000000}"/>
    <cellStyle name="20 % - Accent2 2 2 2" xfId="242" xr:uid="{00000000-0005-0000-0000-000017000000}"/>
    <cellStyle name="20 % - Accent2 2 2 2 2" xfId="375" xr:uid="{00000000-0005-0000-0000-000018000000}"/>
    <cellStyle name="20 % - Accent2 2 2 3" xfId="173" xr:uid="{00000000-0005-0000-0000-000019000000}"/>
    <cellStyle name="20 % - Accent2 2 2 4" xfId="308" xr:uid="{00000000-0005-0000-0000-00001A000000}"/>
    <cellStyle name="20 % - Accent2 2 3" xfId="209" xr:uid="{00000000-0005-0000-0000-00001B000000}"/>
    <cellStyle name="20 % - Accent2 2 3 2" xfId="342" xr:uid="{00000000-0005-0000-0000-00001C000000}"/>
    <cellStyle name="20 % - Accent2 2 4" xfId="140" xr:uid="{00000000-0005-0000-0000-00001D000000}"/>
    <cellStyle name="20 % - Accent2 2 5" xfId="275" xr:uid="{00000000-0005-0000-0000-00001E000000}"/>
    <cellStyle name="20 % - Accent2 3" xfId="90" xr:uid="{00000000-0005-0000-0000-00001F000000}"/>
    <cellStyle name="20 % - Accent2 3 2" xfId="225" xr:uid="{00000000-0005-0000-0000-000020000000}"/>
    <cellStyle name="20 % - Accent2 3 2 2" xfId="358" xr:uid="{00000000-0005-0000-0000-000021000000}"/>
    <cellStyle name="20 % - Accent2 3 3" xfId="156" xr:uid="{00000000-0005-0000-0000-000022000000}"/>
    <cellStyle name="20 % - Accent2 3 4" xfId="291" xr:uid="{00000000-0005-0000-0000-000023000000}"/>
    <cellStyle name="20 % - Accent2 4" xfId="190" xr:uid="{00000000-0005-0000-0000-000024000000}"/>
    <cellStyle name="20 % - Accent2 4 2" xfId="325" xr:uid="{00000000-0005-0000-0000-000025000000}"/>
    <cellStyle name="20 % - Accent2 5" xfId="123" xr:uid="{00000000-0005-0000-0000-000026000000}"/>
    <cellStyle name="20 % - Accent2 6" xfId="258" xr:uid="{00000000-0005-0000-0000-000027000000}"/>
    <cellStyle name="20 % - Accent3" xfId="28" builtinId="38" customBuiltin="1"/>
    <cellStyle name="20 % - Accent3 2" xfId="76" xr:uid="{00000000-0005-0000-0000-000029000000}"/>
    <cellStyle name="20 % - Accent3 2 2" xfId="109" xr:uid="{00000000-0005-0000-0000-00002A000000}"/>
    <cellStyle name="20 % - Accent3 2 2 2" xfId="244" xr:uid="{00000000-0005-0000-0000-00002B000000}"/>
    <cellStyle name="20 % - Accent3 2 2 2 2" xfId="377" xr:uid="{00000000-0005-0000-0000-00002C000000}"/>
    <cellStyle name="20 % - Accent3 2 2 3" xfId="175" xr:uid="{00000000-0005-0000-0000-00002D000000}"/>
    <cellStyle name="20 % - Accent3 2 2 4" xfId="310" xr:uid="{00000000-0005-0000-0000-00002E000000}"/>
    <cellStyle name="20 % - Accent3 2 3" xfId="211" xr:uid="{00000000-0005-0000-0000-00002F000000}"/>
    <cellStyle name="20 % - Accent3 2 3 2" xfId="344" xr:uid="{00000000-0005-0000-0000-000030000000}"/>
    <cellStyle name="20 % - Accent3 2 4" xfId="142" xr:uid="{00000000-0005-0000-0000-000031000000}"/>
    <cellStyle name="20 % - Accent3 2 5" xfId="277" xr:uid="{00000000-0005-0000-0000-000032000000}"/>
    <cellStyle name="20 % - Accent3 3" xfId="92" xr:uid="{00000000-0005-0000-0000-000033000000}"/>
    <cellStyle name="20 % - Accent3 3 2" xfId="227" xr:uid="{00000000-0005-0000-0000-000034000000}"/>
    <cellStyle name="20 % - Accent3 3 2 2" xfId="360" xr:uid="{00000000-0005-0000-0000-000035000000}"/>
    <cellStyle name="20 % - Accent3 3 3" xfId="158" xr:uid="{00000000-0005-0000-0000-000036000000}"/>
    <cellStyle name="20 % - Accent3 3 4" xfId="293" xr:uid="{00000000-0005-0000-0000-000037000000}"/>
    <cellStyle name="20 % - Accent3 4" xfId="192" xr:uid="{00000000-0005-0000-0000-000038000000}"/>
    <cellStyle name="20 % - Accent3 4 2" xfId="327" xr:uid="{00000000-0005-0000-0000-000039000000}"/>
    <cellStyle name="20 % - Accent3 5" xfId="125" xr:uid="{00000000-0005-0000-0000-00003A000000}"/>
    <cellStyle name="20 % - Accent3 6" xfId="260" xr:uid="{00000000-0005-0000-0000-00003B000000}"/>
    <cellStyle name="20 % - Accent4" xfId="32" builtinId="42" customBuiltin="1"/>
    <cellStyle name="20 % - Accent4 2" xfId="78" xr:uid="{00000000-0005-0000-0000-00003D000000}"/>
    <cellStyle name="20 % - Accent4 2 2" xfId="111" xr:uid="{00000000-0005-0000-0000-00003E000000}"/>
    <cellStyle name="20 % - Accent4 2 2 2" xfId="246" xr:uid="{00000000-0005-0000-0000-00003F000000}"/>
    <cellStyle name="20 % - Accent4 2 2 2 2" xfId="379" xr:uid="{00000000-0005-0000-0000-000040000000}"/>
    <cellStyle name="20 % - Accent4 2 2 3" xfId="177" xr:uid="{00000000-0005-0000-0000-000041000000}"/>
    <cellStyle name="20 % - Accent4 2 2 4" xfId="312" xr:uid="{00000000-0005-0000-0000-000042000000}"/>
    <cellStyle name="20 % - Accent4 2 3" xfId="213" xr:uid="{00000000-0005-0000-0000-000043000000}"/>
    <cellStyle name="20 % - Accent4 2 3 2" xfId="346" xr:uid="{00000000-0005-0000-0000-000044000000}"/>
    <cellStyle name="20 % - Accent4 2 4" xfId="144" xr:uid="{00000000-0005-0000-0000-000045000000}"/>
    <cellStyle name="20 % - Accent4 2 5" xfId="279" xr:uid="{00000000-0005-0000-0000-000046000000}"/>
    <cellStyle name="20 % - Accent4 3" xfId="94" xr:uid="{00000000-0005-0000-0000-000047000000}"/>
    <cellStyle name="20 % - Accent4 3 2" xfId="229" xr:uid="{00000000-0005-0000-0000-000048000000}"/>
    <cellStyle name="20 % - Accent4 3 2 2" xfId="362" xr:uid="{00000000-0005-0000-0000-000049000000}"/>
    <cellStyle name="20 % - Accent4 3 3" xfId="160" xr:uid="{00000000-0005-0000-0000-00004A000000}"/>
    <cellStyle name="20 % - Accent4 3 4" xfId="295" xr:uid="{00000000-0005-0000-0000-00004B000000}"/>
    <cellStyle name="20 % - Accent4 4" xfId="194" xr:uid="{00000000-0005-0000-0000-00004C000000}"/>
    <cellStyle name="20 % - Accent4 4 2" xfId="329" xr:uid="{00000000-0005-0000-0000-00004D000000}"/>
    <cellStyle name="20 % - Accent4 5" xfId="127" xr:uid="{00000000-0005-0000-0000-00004E000000}"/>
    <cellStyle name="20 % - Accent4 6" xfId="262" xr:uid="{00000000-0005-0000-0000-00004F000000}"/>
    <cellStyle name="20 % - Accent5" xfId="36" builtinId="46" customBuiltin="1"/>
    <cellStyle name="20 % - Accent5 2" xfId="80" xr:uid="{00000000-0005-0000-0000-000051000000}"/>
    <cellStyle name="20 % - Accent5 2 2" xfId="113" xr:uid="{00000000-0005-0000-0000-000052000000}"/>
    <cellStyle name="20 % - Accent5 2 2 2" xfId="248" xr:uid="{00000000-0005-0000-0000-000053000000}"/>
    <cellStyle name="20 % - Accent5 2 2 2 2" xfId="381" xr:uid="{00000000-0005-0000-0000-000054000000}"/>
    <cellStyle name="20 % - Accent5 2 2 3" xfId="179" xr:uid="{00000000-0005-0000-0000-000055000000}"/>
    <cellStyle name="20 % - Accent5 2 2 4" xfId="314" xr:uid="{00000000-0005-0000-0000-000056000000}"/>
    <cellStyle name="20 % - Accent5 2 3" xfId="215" xr:uid="{00000000-0005-0000-0000-000057000000}"/>
    <cellStyle name="20 % - Accent5 2 3 2" xfId="348" xr:uid="{00000000-0005-0000-0000-000058000000}"/>
    <cellStyle name="20 % - Accent5 2 4" xfId="146" xr:uid="{00000000-0005-0000-0000-000059000000}"/>
    <cellStyle name="20 % - Accent5 2 5" xfId="281" xr:uid="{00000000-0005-0000-0000-00005A000000}"/>
    <cellStyle name="20 % - Accent5 3" xfId="96" xr:uid="{00000000-0005-0000-0000-00005B000000}"/>
    <cellStyle name="20 % - Accent5 3 2" xfId="231" xr:uid="{00000000-0005-0000-0000-00005C000000}"/>
    <cellStyle name="20 % - Accent5 3 2 2" xfId="364" xr:uid="{00000000-0005-0000-0000-00005D000000}"/>
    <cellStyle name="20 % - Accent5 3 3" xfId="162" xr:uid="{00000000-0005-0000-0000-00005E000000}"/>
    <cellStyle name="20 % - Accent5 3 4" xfId="297" xr:uid="{00000000-0005-0000-0000-00005F000000}"/>
    <cellStyle name="20 % - Accent5 4" xfId="196" xr:uid="{00000000-0005-0000-0000-000060000000}"/>
    <cellStyle name="20 % - Accent5 4 2" xfId="331" xr:uid="{00000000-0005-0000-0000-000061000000}"/>
    <cellStyle name="20 % - Accent5 5" xfId="129" xr:uid="{00000000-0005-0000-0000-000062000000}"/>
    <cellStyle name="20 % - Accent5 6" xfId="264" xr:uid="{00000000-0005-0000-0000-000063000000}"/>
    <cellStyle name="20 % - Accent6" xfId="40" builtinId="50" customBuiltin="1"/>
    <cellStyle name="20 % - Accent6 2" xfId="82" xr:uid="{00000000-0005-0000-0000-000065000000}"/>
    <cellStyle name="20 % - Accent6 2 2" xfId="115" xr:uid="{00000000-0005-0000-0000-000066000000}"/>
    <cellStyle name="20 % - Accent6 2 2 2" xfId="250" xr:uid="{00000000-0005-0000-0000-000067000000}"/>
    <cellStyle name="20 % - Accent6 2 2 2 2" xfId="383" xr:uid="{00000000-0005-0000-0000-000068000000}"/>
    <cellStyle name="20 % - Accent6 2 2 3" xfId="181" xr:uid="{00000000-0005-0000-0000-000069000000}"/>
    <cellStyle name="20 % - Accent6 2 2 4" xfId="316" xr:uid="{00000000-0005-0000-0000-00006A000000}"/>
    <cellStyle name="20 % - Accent6 2 3" xfId="217" xr:uid="{00000000-0005-0000-0000-00006B000000}"/>
    <cellStyle name="20 % - Accent6 2 3 2" xfId="350" xr:uid="{00000000-0005-0000-0000-00006C000000}"/>
    <cellStyle name="20 % - Accent6 2 4" xfId="148" xr:uid="{00000000-0005-0000-0000-00006D000000}"/>
    <cellStyle name="20 % - Accent6 2 5" xfId="283" xr:uid="{00000000-0005-0000-0000-00006E000000}"/>
    <cellStyle name="20 % - Accent6 3" xfId="98" xr:uid="{00000000-0005-0000-0000-00006F000000}"/>
    <cellStyle name="20 % - Accent6 3 2" xfId="233" xr:uid="{00000000-0005-0000-0000-000070000000}"/>
    <cellStyle name="20 % - Accent6 3 2 2" xfId="366" xr:uid="{00000000-0005-0000-0000-000071000000}"/>
    <cellStyle name="20 % - Accent6 3 3" xfId="164" xr:uid="{00000000-0005-0000-0000-000072000000}"/>
    <cellStyle name="20 % - Accent6 3 4" xfId="299" xr:uid="{00000000-0005-0000-0000-000073000000}"/>
    <cellStyle name="20 % - Accent6 4" xfId="198" xr:uid="{00000000-0005-0000-0000-000074000000}"/>
    <cellStyle name="20 % - Accent6 4 2" xfId="333" xr:uid="{00000000-0005-0000-0000-000075000000}"/>
    <cellStyle name="20 % - Accent6 5" xfId="131" xr:uid="{00000000-0005-0000-0000-000076000000}"/>
    <cellStyle name="20 % - Accent6 6" xfId="266" xr:uid="{00000000-0005-0000-0000-000077000000}"/>
    <cellStyle name="40 % - Accent1" xfId="21" builtinId="31" customBuiltin="1"/>
    <cellStyle name="40 % - Accent1 2" xfId="73" xr:uid="{00000000-0005-0000-0000-000079000000}"/>
    <cellStyle name="40 % - Accent1 2 2" xfId="106" xr:uid="{00000000-0005-0000-0000-00007A000000}"/>
    <cellStyle name="40 % - Accent1 2 2 2" xfId="241" xr:uid="{00000000-0005-0000-0000-00007B000000}"/>
    <cellStyle name="40 % - Accent1 2 2 2 2" xfId="374" xr:uid="{00000000-0005-0000-0000-00007C000000}"/>
    <cellStyle name="40 % - Accent1 2 2 3" xfId="172" xr:uid="{00000000-0005-0000-0000-00007D000000}"/>
    <cellStyle name="40 % - Accent1 2 2 4" xfId="307" xr:uid="{00000000-0005-0000-0000-00007E000000}"/>
    <cellStyle name="40 % - Accent1 2 3" xfId="208" xr:uid="{00000000-0005-0000-0000-00007F000000}"/>
    <cellStyle name="40 % - Accent1 2 3 2" xfId="341" xr:uid="{00000000-0005-0000-0000-000080000000}"/>
    <cellStyle name="40 % - Accent1 2 4" xfId="139" xr:uid="{00000000-0005-0000-0000-000081000000}"/>
    <cellStyle name="40 % - Accent1 2 5" xfId="274" xr:uid="{00000000-0005-0000-0000-000082000000}"/>
    <cellStyle name="40 % - Accent1 3" xfId="89" xr:uid="{00000000-0005-0000-0000-000083000000}"/>
    <cellStyle name="40 % - Accent1 3 2" xfId="224" xr:uid="{00000000-0005-0000-0000-000084000000}"/>
    <cellStyle name="40 % - Accent1 3 2 2" xfId="357" xr:uid="{00000000-0005-0000-0000-000085000000}"/>
    <cellStyle name="40 % - Accent1 3 3" xfId="155" xr:uid="{00000000-0005-0000-0000-000086000000}"/>
    <cellStyle name="40 % - Accent1 3 4" xfId="290" xr:uid="{00000000-0005-0000-0000-000087000000}"/>
    <cellStyle name="40 % - Accent1 4" xfId="189" xr:uid="{00000000-0005-0000-0000-000088000000}"/>
    <cellStyle name="40 % - Accent1 4 2" xfId="324" xr:uid="{00000000-0005-0000-0000-000089000000}"/>
    <cellStyle name="40 % - Accent1 5" xfId="122" xr:uid="{00000000-0005-0000-0000-00008A000000}"/>
    <cellStyle name="40 % - Accent1 6" xfId="257" xr:uid="{00000000-0005-0000-0000-00008B000000}"/>
    <cellStyle name="40 % - Accent2" xfId="25" builtinId="35" customBuiltin="1"/>
    <cellStyle name="40 % - Accent2 2" xfId="75" xr:uid="{00000000-0005-0000-0000-00008D000000}"/>
    <cellStyle name="40 % - Accent2 2 2" xfId="108" xr:uid="{00000000-0005-0000-0000-00008E000000}"/>
    <cellStyle name="40 % - Accent2 2 2 2" xfId="243" xr:uid="{00000000-0005-0000-0000-00008F000000}"/>
    <cellStyle name="40 % - Accent2 2 2 2 2" xfId="376" xr:uid="{00000000-0005-0000-0000-000090000000}"/>
    <cellStyle name="40 % - Accent2 2 2 3" xfId="174" xr:uid="{00000000-0005-0000-0000-000091000000}"/>
    <cellStyle name="40 % - Accent2 2 2 4" xfId="309" xr:uid="{00000000-0005-0000-0000-000092000000}"/>
    <cellStyle name="40 % - Accent2 2 3" xfId="210" xr:uid="{00000000-0005-0000-0000-000093000000}"/>
    <cellStyle name="40 % - Accent2 2 3 2" xfId="343" xr:uid="{00000000-0005-0000-0000-000094000000}"/>
    <cellStyle name="40 % - Accent2 2 4" xfId="141" xr:uid="{00000000-0005-0000-0000-000095000000}"/>
    <cellStyle name="40 % - Accent2 2 5" xfId="276" xr:uid="{00000000-0005-0000-0000-000096000000}"/>
    <cellStyle name="40 % - Accent2 3" xfId="91" xr:uid="{00000000-0005-0000-0000-000097000000}"/>
    <cellStyle name="40 % - Accent2 3 2" xfId="226" xr:uid="{00000000-0005-0000-0000-000098000000}"/>
    <cellStyle name="40 % - Accent2 3 2 2" xfId="359" xr:uid="{00000000-0005-0000-0000-000099000000}"/>
    <cellStyle name="40 % - Accent2 3 3" xfId="157" xr:uid="{00000000-0005-0000-0000-00009A000000}"/>
    <cellStyle name="40 % - Accent2 3 4" xfId="292" xr:uid="{00000000-0005-0000-0000-00009B000000}"/>
    <cellStyle name="40 % - Accent2 4" xfId="191" xr:uid="{00000000-0005-0000-0000-00009C000000}"/>
    <cellStyle name="40 % - Accent2 4 2" xfId="326" xr:uid="{00000000-0005-0000-0000-00009D000000}"/>
    <cellStyle name="40 % - Accent2 5" xfId="124" xr:uid="{00000000-0005-0000-0000-00009E000000}"/>
    <cellStyle name="40 % - Accent2 6" xfId="259" xr:uid="{00000000-0005-0000-0000-00009F000000}"/>
    <cellStyle name="40 % - Accent3" xfId="29" builtinId="39" customBuiltin="1"/>
    <cellStyle name="40 % - Accent3 2" xfId="77" xr:uid="{00000000-0005-0000-0000-0000A1000000}"/>
    <cellStyle name="40 % - Accent3 2 2" xfId="110" xr:uid="{00000000-0005-0000-0000-0000A2000000}"/>
    <cellStyle name="40 % - Accent3 2 2 2" xfId="245" xr:uid="{00000000-0005-0000-0000-0000A3000000}"/>
    <cellStyle name="40 % - Accent3 2 2 2 2" xfId="378" xr:uid="{00000000-0005-0000-0000-0000A4000000}"/>
    <cellStyle name="40 % - Accent3 2 2 3" xfId="176" xr:uid="{00000000-0005-0000-0000-0000A5000000}"/>
    <cellStyle name="40 % - Accent3 2 2 4" xfId="311" xr:uid="{00000000-0005-0000-0000-0000A6000000}"/>
    <cellStyle name="40 % - Accent3 2 3" xfId="212" xr:uid="{00000000-0005-0000-0000-0000A7000000}"/>
    <cellStyle name="40 % - Accent3 2 3 2" xfId="345" xr:uid="{00000000-0005-0000-0000-0000A8000000}"/>
    <cellStyle name="40 % - Accent3 2 4" xfId="143" xr:uid="{00000000-0005-0000-0000-0000A9000000}"/>
    <cellStyle name="40 % - Accent3 2 5" xfId="278" xr:uid="{00000000-0005-0000-0000-0000AA000000}"/>
    <cellStyle name="40 % - Accent3 3" xfId="93" xr:uid="{00000000-0005-0000-0000-0000AB000000}"/>
    <cellStyle name="40 % - Accent3 3 2" xfId="228" xr:uid="{00000000-0005-0000-0000-0000AC000000}"/>
    <cellStyle name="40 % - Accent3 3 2 2" xfId="361" xr:uid="{00000000-0005-0000-0000-0000AD000000}"/>
    <cellStyle name="40 % - Accent3 3 3" xfId="159" xr:uid="{00000000-0005-0000-0000-0000AE000000}"/>
    <cellStyle name="40 % - Accent3 3 4" xfId="294" xr:uid="{00000000-0005-0000-0000-0000AF000000}"/>
    <cellStyle name="40 % - Accent3 4" xfId="193" xr:uid="{00000000-0005-0000-0000-0000B0000000}"/>
    <cellStyle name="40 % - Accent3 4 2" xfId="328" xr:uid="{00000000-0005-0000-0000-0000B1000000}"/>
    <cellStyle name="40 % - Accent3 5" xfId="126" xr:uid="{00000000-0005-0000-0000-0000B2000000}"/>
    <cellStyle name="40 % - Accent3 6" xfId="261" xr:uid="{00000000-0005-0000-0000-0000B3000000}"/>
    <cellStyle name="40 % - Accent4" xfId="33" builtinId="43" customBuiltin="1"/>
    <cellStyle name="40 % - Accent4 2" xfId="79" xr:uid="{00000000-0005-0000-0000-0000B5000000}"/>
    <cellStyle name="40 % - Accent4 2 2" xfId="112" xr:uid="{00000000-0005-0000-0000-0000B6000000}"/>
    <cellStyle name="40 % - Accent4 2 2 2" xfId="247" xr:uid="{00000000-0005-0000-0000-0000B7000000}"/>
    <cellStyle name="40 % - Accent4 2 2 2 2" xfId="380" xr:uid="{00000000-0005-0000-0000-0000B8000000}"/>
    <cellStyle name="40 % - Accent4 2 2 3" xfId="178" xr:uid="{00000000-0005-0000-0000-0000B9000000}"/>
    <cellStyle name="40 % - Accent4 2 2 4" xfId="313" xr:uid="{00000000-0005-0000-0000-0000BA000000}"/>
    <cellStyle name="40 % - Accent4 2 3" xfId="214" xr:uid="{00000000-0005-0000-0000-0000BB000000}"/>
    <cellStyle name="40 % - Accent4 2 3 2" xfId="347" xr:uid="{00000000-0005-0000-0000-0000BC000000}"/>
    <cellStyle name="40 % - Accent4 2 4" xfId="145" xr:uid="{00000000-0005-0000-0000-0000BD000000}"/>
    <cellStyle name="40 % - Accent4 2 5" xfId="280" xr:uid="{00000000-0005-0000-0000-0000BE000000}"/>
    <cellStyle name="40 % - Accent4 3" xfId="95" xr:uid="{00000000-0005-0000-0000-0000BF000000}"/>
    <cellStyle name="40 % - Accent4 3 2" xfId="230" xr:uid="{00000000-0005-0000-0000-0000C0000000}"/>
    <cellStyle name="40 % - Accent4 3 2 2" xfId="363" xr:uid="{00000000-0005-0000-0000-0000C1000000}"/>
    <cellStyle name="40 % - Accent4 3 3" xfId="161" xr:uid="{00000000-0005-0000-0000-0000C2000000}"/>
    <cellStyle name="40 % - Accent4 3 4" xfId="296" xr:uid="{00000000-0005-0000-0000-0000C3000000}"/>
    <cellStyle name="40 % - Accent4 4" xfId="195" xr:uid="{00000000-0005-0000-0000-0000C4000000}"/>
    <cellStyle name="40 % - Accent4 4 2" xfId="330" xr:uid="{00000000-0005-0000-0000-0000C5000000}"/>
    <cellStyle name="40 % - Accent4 5" xfId="128" xr:uid="{00000000-0005-0000-0000-0000C6000000}"/>
    <cellStyle name="40 % - Accent4 6" xfId="263" xr:uid="{00000000-0005-0000-0000-0000C7000000}"/>
    <cellStyle name="40 % - Accent5" xfId="37" builtinId="47" customBuiltin="1"/>
    <cellStyle name="40 % - Accent5 2" xfId="81" xr:uid="{00000000-0005-0000-0000-0000C9000000}"/>
    <cellStyle name="40 % - Accent5 2 2" xfId="114" xr:uid="{00000000-0005-0000-0000-0000CA000000}"/>
    <cellStyle name="40 % - Accent5 2 2 2" xfId="249" xr:uid="{00000000-0005-0000-0000-0000CB000000}"/>
    <cellStyle name="40 % - Accent5 2 2 2 2" xfId="382" xr:uid="{00000000-0005-0000-0000-0000CC000000}"/>
    <cellStyle name="40 % - Accent5 2 2 3" xfId="180" xr:uid="{00000000-0005-0000-0000-0000CD000000}"/>
    <cellStyle name="40 % - Accent5 2 2 4" xfId="315" xr:uid="{00000000-0005-0000-0000-0000CE000000}"/>
    <cellStyle name="40 % - Accent5 2 3" xfId="216" xr:uid="{00000000-0005-0000-0000-0000CF000000}"/>
    <cellStyle name="40 % - Accent5 2 3 2" xfId="349" xr:uid="{00000000-0005-0000-0000-0000D0000000}"/>
    <cellStyle name="40 % - Accent5 2 4" xfId="147" xr:uid="{00000000-0005-0000-0000-0000D1000000}"/>
    <cellStyle name="40 % - Accent5 2 5" xfId="282" xr:uid="{00000000-0005-0000-0000-0000D2000000}"/>
    <cellStyle name="40 % - Accent5 3" xfId="97" xr:uid="{00000000-0005-0000-0000-0000D3000000}"/>
    <cellStyle name="40 % - Accent5 3 2" xfId="232" xr:uid="{00000000-0005-0000-0000-0000D4000000}"/>
    <cellStyle name="40 % - Accent5 3 2 2" xfId="365" xr:uid="{00000000-0005-0000-0000-0000D5000000}"/>
    <cellStyle name="40 % - Accent5 3 3" xfId="163" xr:uid="{00000000-0005-0000-0000-0000D6000000}"/>
    <cellStyle name="40 % - Accent5 3 4" xfId="298" xr:uid="{00000000-0005-0000-0000-0000D7000000}"/>
    <cellStyle name="40 % - Accent5 4" xfId="197" xr:uid="{00000000-0005-0000-0000-0000D8000000}"/>
    <cellStyle name="40 % - Accent5 4 2" xfId="332" xr:uid="{00000000-0005-0000-0000-0000D9000000}"/>
    <cellStyle name="40 % - Accent5 5" xfId="130" xr:uid="{00000000-0005-0000-0000-0000DA000000}"/>
    <cellStyle name="40 % - Accent5 6" xfId="265" xr:uid="{00000000-0005-0000-0000-0000DB000000}"/>
    <cellStyle name="40 % - Accent6" xfId="41" builtinId="51" customBuiltin="1"/>
    <cellStyle name="40 % - Accent6 2" xfId="83" xr:uid="{00000000-0005-0000-0000-0000DD000000}"/>
    <cellStyle name="40 % - Accent6 2 2" xfId="116" xr:uid="{00000000-0005-0000-0000-0000DE000000}"/>
    <cellStyle name="40 % - Accent6 2 2 2" xfId="251" xr:uid="{00000000-0005-0000-0000-0000DF000000}"/>
    <cellStyle name="40 % - Accent6 2 2 2 2" xfId="384" xr:uid="{00000000-0005-0000-0000-0000E0000000}"/>
    <cellStyle name="40 % - Accent6 2 2 3" xfId="182" xr:uid="{00000000-0005-0000-0000-0000E1000000}"/>
    <cellStyle name="40 % - Accent6 2 2 4" xfId="317" xr:uid="{00000000-0005-0000-0000-0000E2000000}"/>
    <cellStyle name="40 % - Accent6 2 3" xfId="218" xr:uid="{00000000-0005-0000-0000-0000E3000000}"/>
    <cellStyle name="40 % - Accent6 2 3 2" xfId="351" xr:uid="{00000000-0005-0000-0000-0000E4000000}"/>
    <cellStyle name="40 % - Accent6 2 4" xfId="149" xr:uid="{00000000-0005-0000-0000-0000E5000000}"/>
    <cellStyle name="40 % - Accent6 2 5" xfId="284" xr:uid="{00000000-0005-0000-0000-0000E6000000}"/>
    <cellStyle name="40 % - Accent6 3" xfId="99" xr:uid="{00000000-0005-0000-0000-0000E7000000}"/>
    <cellStyle name="40 % - Accent6 3 2" xfId="234" xr:uid="{00000000-0005-0000-0000-0000E8000000}"/>
    <cellStyle name="40 % - Accent6 3 2 2" xfId="367" xr:uid="{00000000-0005-0000-0000-0000E9000000}"/>
    <cellStyle name="40 % - Accent6 3 3" xfId="165" xr:uid="{00000000-0005-0000-0000-0000EA000000}"/>
    <cellStyle name="40 % - Accent6 3 4" xfId="300" xr:uid="{00000000-0005-0000-0000-0000EB000000}"/>
    <cellStyle name="40 % - Accent6 4" xfId="199" xr:uid="{00000000-0005-0000-0000-0000EC000000}"/>
    <cellStyle name="40 % - Accent6 4 2" xfId="334" xr:uid="{00000000-0005-0000-0000-0000ED000000}"/>
    <cellStyle name="40 % - Accent6 5" xfId="132" xr:uid="{00000000-0005-0000-0000-0000EE000000}"/>
    <cellStyle name="40 % - Accent6 6" xfId="267" xr:uid="{00000000-0005-0000-0000-0000EF000000}"/>
    <cellStyle name="60 % - Accent1" xfId="22" builtinId="32" customBuiltin="1"/>
    <cellStyle name="60 % - Accent1 2" xfId="397" xr:uid="{0DF9E1F0-9EAA-4445-8409-07509BCF224F}"/>
    <cellStyle name="60 % - Accent2" xfId="26" builtinId="36" customBuiltin="1"/>
    <cellStyle name="60 % - Accent2 2" xfId="398" xr:uid="{2CA891A5-D0D4-4126-98E5-469C90BD5BFD}"/>
    <cellStyle name="60 % - Accent3" xfId="30" builtinId="40" customBuiltin="1"/>
    <cellStyle name="60 % - Accent3 2" xfId="399" xr:uid="{D9BC5F3E-3274-4E3F-BF72-194135569FC9}"/>
    <cellStyle name="60 % - Accent4" xfId="34" builtinId="44" customBuiltin="1"/>
    <cellStyle name="60 % - Accent4 2" xfId="400" xr:uid="{9E5A7DAC-3ACD-4F07-AE6A-9C4315AEA45E}"/>
    <cellStyle name="60 % - Accent5" xfId="38" builtinId="48" customBuiltin="1"/>
    <cellStyle name="60 % - Accent5 2" xfId="401" xr:uid="{9B021365-7ADF-4C0E-9542-D112D4D6EE5B}"/>
    <cellStyle name="60 % - Accent6" xfId="42" builtinId="52" customBuiltin="1"/>
    <cellStyle name="60 % - Accent6 2" xfId="402" xr:uid="{1D60DD7D-FCD9-40B9-BB20-D34283098A15}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Avertissement" xfId="16" builtinId="11" customBuiltin="1"/>
    <cellStyle name="Calcul" xfId="13" builtinId="22" customBuiltin="1"/>
    <cellStyle name="Cellule liée" xfId="14" builtinId="24" customBuiltin="1"/>
    <cellStyle name="Commentaire 2" xfId="64" xr:uid="{00000000-0005-0000-0000-0000FF000000}"/>
    <cellStyle name="Commentaire 2 2" xfId="85" xr:uid="{00000000-0005-0000-0000-000000010000}"/>
    <cellStyle name="Commentaire 2 2 2" xfId="118" xr:uid="{00000000-0005-0000-0000-000001010000}"/>
    <cellStyle name="Commentaire 2 2 2 2" xfId="253" xr:uid="{00000000-0005-0000-0000-000002010000}"/>
    <cellStyle name="Commentaire 2 2 2 2 2" xfId="386" xr:uid="{00000000-0005-0000-0000-000003010000}"/>
    <cellStyle name="Commentaire 2 2 2 3" xfId="184" xr:uid="{00000000-0005-0000-0000-000004010000}"/>
    <cellStyle name="Commentaire 2 2 2 4" xfId="319" xr:uid="{00000000-0005-0000-0000-000005010000}"/>
    <cellStyle name="Commentaire 2 2 3" xfId="220" xr:uid="{00000000-0005-0000-0000-000006010000}"/>
    <cellStyle name="Commentaire 2 2 3 2" xfId="353" xr:uid="{00000000-0005-0000-0000-000007010000}"/>
    <cellStyle name="Commentaire 2 2 4" xfId="151" xr:uid="{00000000-0005-0000-0000-000008010000}"/>
    <cellStyle name="Commentaire 2 2 5" xfId="286" xr:uid="{00000000-0005-0000-0000-000009010000}"/>
    <cellStyle name="Commentaire 2 3" xfId="101" xr:uid="{00000000-0005-0000-0000-00000A010000}"/>
    <cellStyle name="Commentaire 2 3 2" xfId="236" xr:uid="{00000000-0005-0000-0000-00000B010000}"/>
    <cellStyle name="Commentaire 2 3 2 2" xfId="369" xr:uid="{00000000-0005-0000-0000-00000C010000}"/>
    <cellStyle name="Commentaire 2 3 3" xfId="167" xr:uid="{00000000-0005-0000-0000-00000D010000}"/>
    <cellStyle name="Commentaire 2 3 4" xfId="302" xr:uid="{00000000-0005-0000-0000-00000E010000}"/>
    <cellStyle name="Commentaire 2 4" xfId="203" xr:uid="{00000000-0005-0000-0000-00000F010000}"/>
    <cellStyle name="Commentaire 2 4 2" xfId="336" xr:uid="{00000000-0005-0000-0000-000010010000}"/>
    <cellStyle name="Commentaire 2 5" xfId="134" xr:uid="{00000000-0005-0000-0000-000011010000}"/>
    <cellStyle name="Commentaire 2 6" xfId="269" xr:uid="{00000000-0005-0000-0000-000012010000}"/>
    <cellStyle name="Commentaire 3" xfId="65" xr:uid="{00000000-0005-0000-0000-000013010000}"/>
    <cellStyle name="Commentaire 3 2" xfId="86" xr:uid="{00000000-0005-0000-0000-000014010000}"/>
    <cellStyle name="Commentaire 3 2 2" xfId="119" xr:uid="{00000000-0005-0000-0000-000015010000}"/>
    <cellStyle name="Commentaire 3 2 2 2" xfId="254" xr:uid="{00000000-0005-0000-0000-000016010000}"/>
    <cellStyle name="Commentaire 3 2 2 2 2" xfId="387" xr:uid="{00000000-0005-0000-0000-000017010000}"/>
    <cellStyle name="Commentaire 3 2 2 3" xfId="185" xr:uid="{00000000-0005-0000-0000-000018010000}"/>
    <cellStyle name="Commentaire 3 2 2 4" xfId="320" xr:uid="{00000000-0005-0000-0000-000019010000}"/>
    <cellStyle name="Commentaire 3 2 3" xfId="221" xr:uid="{00000000-0005-0000-0000-00001A010000}"/>
    <cellStyle name="Commentaire 3 2 3 2" xfId="354" xr:uid="{00000000-0005-0000-0000-00001B010000}"/>
    <cellStyle name="Commentaire 3 2 4" xfId="152" xr:uid="{00000000-0005-0000-0000-00001C010000}"/>
    <cellStyle name="Commentaire 3 2 5" xfId="287" xr:uid="{00000000-0005-0000-0000-00001D010000}"/>
    <cellStyle name="Commentaire 3 3" xfId="102" xr:uid="{00000000-0005-0000-0000-00001E010000}"/>
    <cellStyle name="Commentaire 3 3 2" xfId="237" xr:uid="{00000000-0005-0000-0000-00001F010000}"/>
    <cellStyle name="Commentaire 3 3 2 2" xfId="370" xr:uid="{00000000-0005-0000-0000-000020010000}"/>
    <cellStyle name="Commentaire 3 3 3" xfId="168" xr:uid="{00000000-0005-0000-0000-000021010000}"/>
    <cellStyle name="Commentaire 3 3 4" xfId="303" xr:uid="{00000000-0005-0000-0000-000022010000}"/>
    <cellStyle name="Commentaire 3 4" xfId="204" xr:uid="{00000000-0005-0000-0000-000023010000}"/>
    <cellStyle name="Commentaire 3 4 2" xfId="337" xr:uid="{00000000-0005-0000-0000-000024010000}"/>
    <cellStyle name="Commentaire 3 5" xfId="135" xr:uid="{00000000-0005-0000-0000-000025010000}"/>
    <cellStyle name="Commentaire 3 6" xfId="270" xr:uid="{00000000-0005-0000-0000-000026010000}"/>
    <cellStyle name="Entrée" xfId="11" builtinId="20" customBuiltin="1"/>
    <cellStyle name="Euro" xfId="69" xr:uid="{00000000-0005-0000-0000-000028010000}"/>
    <cellStyle name="Euro 2" xfId="407" xr:uid="{D7823231-A1A2-4418-9B36-E4E6CFE32B67}"/>
    <cellStyle name="Euro 3" xfId="403" xr:uid="{004CE9B6-5292-4877-8FAB-049B1AF92BCC}"/>
    <cellStyle name="Insatisfaisant" xfId="9" builtinId="27" customBuiltin="1"/>
    <cellStyle name="Lien hypertexte" xfId="1" builtinId="8"/>
    <cellStyle name="Lien hypertexte 2" xfId="201" xr:uid="{00000000-0005-0000-0000-00002B010000}"/>
    <cellStyle name="Lien hypertexte 3" xfId="44" xr:uid="{00000000-0005-0000-0000-00002C010000}"/>
    <cellStyle name="Milliers 2" xfId="394" xr:uid="{44DB2104-5F16-420A-BA8D-9DBD803C955E}"/>
    <cellStyle name="Milliers 2 2" xfId="406" xr:uid="{E7A63238-10F8-4B49-A06E-636486AA1855}"/>
    <cellStyle name="Monétaire 2" xfId="45" xr:uid="{00000000-0005-0000-0000-00002E010000}"/>
    <cellStyle name="Neutre" xfId="10" builtinId="28" customBuiltin="1"/>
    <cellStyle name="Neutre 2" xfId="396" xr:uid="{2B10C75A-048C-4554-B91F-5159D843FC27}"/>
    <cellStyle name="Normal" xfId="0" builtinId="0"/>
    <cellStyle name="Normal 10" xfId="46" xr:uid="{00000000-0005-0000-0000-000031010000}"/>
    <cellStyle name="Normal 11" xfId="47" xr:uid="{00000000-0005-0000-0000-000032010000}"/>
    <cellStyle name="Normal 12" xfId="48" xr:uid="{00000000-0005-0000-0000-000033010000}"/>
    <cellStyle name="Normal 13" xfId="49" xr:uid="{00000000-0005-0000-0000-000034010000}"/>
    <cellStyle name="Normal 14" xfId="43" xr:uid="{00000000-0005-0000-0000-000035010000}"/>
    <cellStyle name="Normal 15" xfId="50" xr:uid="{00000000-0005-0000-0000-000036010000}"/>
    <cellStyle name="Normal 16" xfId="51" xr:uid="{00000000-0005-0000-0000-000037010000}"/>
    <cellStyle name="Normal 17" xfId="52" xr:uid="{00000000-0005-0000-0000-000038010000}"/>
    <cellStyle name="Normal 18" xfId="53" xr:uid="{00000000-0005-0000-0000-000039010000}"/>
    <cellStyle name="Normal 19" xfId="54" xr:uid="{00000000-0005-0000-0000-00003A010000}"/>
    <cellStyle name="Normal 2" xfId="68" xr:uid="{00000000-0005-0000-0000-00003B010000}"/>
    <cellStyle name="Normal 2 2" xfId="66" xr:uid="{00000000-0005-0000-0000-00003C010000}"/>
    <cellStyle name="Normal 2 3" xfId="67" xr:uid="{00000000-0005-0000-0000-00003D010000}"/>
    <cellStyle name="Normal 2 4" xfId="87" xr:uid="{00000000-0005-0000-0000-00003E010000}"/>
    <cellStyle name="Normal 2 4 2" xfId="120" xr:uid="{00000000-0005-0000-0000-00003F010000}"/>
    <cellStyle name="Normal 2 4 2 2" xfId="255" xr:uid="{00000000-0005-0000-0000-000040010000}"/>
    <cellStyle name="Normal 2 4 2 2 2" xfId="388" xr:uid="{00000000-0005-0000-0000-000041010000}"/>
    <cellStyle name="Normal 2 4 2 3" xfId="186" xr:uid="{00000000-0005-0000-0000-000042010000}"/>
    <cellStyle name="Normal 2 4 2 4" xfId="321" xr:uid="{00000000-0005-0000-0000-000043010000}"/>
    <cellStyle name="Normal 2 4 3" xfId="222" xr:uid="{00000000-0005-0000-0000-000044010000}"/>
    <cellStyle name="Normal 2 4 3 2" xfId="355" xr:uid="{00000000-0005-0000-0000-000045010000}"/>
    <cellStyle name="Normal 2 4 4" xfId="153" xr:uid="{00000000-0005-0000-0000-000046010000}"/>
    <cellStyle name="Normal 2 4 5" xfId="288" xr:uid="{00000000-0005-0000-0000-000047010000}"/>
    <cellStyle name="Normal 2 5" xfId="71" xr:uid="{00000000-0005-0000-0000-000048010000}"/>
    <cellStyle name="Normal 2 5 2" xfId="104" xr:uid="{00000000-0005-0000-0000-000049010000}"/>
    <cellStyle name="Normal 2 5 2 2" xfId="239" xr:uid="{00000000-0005-0000-0000-00004A010000}"/>
    <cellStyle name="Normal 2 5 2 2 2" xfId="372" xr:uid="{00000000-0005-0000-0000-00004B010000}"/>
    <cellStyle name="Normal 2 5 2 3" xfId="170" xr:uid="{00000000-0005-0000-0000-00004C010000}"/>
    <cellStyle name="Normal 2 5 2 4" xfId="305" xr:uid="{00000000-0005-0000-0000-00004D010000}"/>
    <cellStyle name="Normal 2 5 3" xfId="206" xr:uid="{00000000-0005-0000-0000-00004E010000}"/>
    <cellStyle name="Normal 2 5 3 2" xfId="339" xr:uid="{00000000-0005-0000-0000-00004F010000}"/>
    <cellStyle name="Normal 2 5 4" xfId="137" xr:uid="{00000000-0005-0000-0000-000050010000}"/>
    <cellStyle name="Normal 2 5 5" xfId="272" xr:uid="{00000000-0005-0000-0000-000051010000}"/>
    <cellStyle name="Normal 2 6" xfId="103" xr:uid="{00000000-0005-0000-0000-000052010000}"/>
    <cellStyle name="Normal 2 6 2" xfId="238" xr:uid="{00000000-0005-0000-0000-000053010000}"/>
    <cellStyle name="Normal 2 6 2 2" xfId="371" xr:uid="{00000000-0005-0000-0000-000054010000}"/>
    <cellStyle name="Normal 2 6 3" xfId="169" xr:uid="{00000000-0005-0000-0000-000055010000}"/>
    <cellStyle name="Normal 2 6 4" xfId="304" xr:uid="{00000000-0005-0000-0000-000056010000}"/>
    <cellStyle name="Normal 2 7" xfId="205" xr:uid="{00000000-0005-0000-0000-000057010000}"/>
    <cellStyle name="Normal 2 7 2" xfId="338" xr:uid="{00000000-0005-0000-0000-000058010000}"/>
    <cellStyle name="Normal 2 8" xfId="136" xr:uid="{00000000-0005-0000-0000-000059010000}"/>
    <cellStyle name="Normal 2 9" xfId="271" xr:uid="{00000000-0005-0000-0000-00005A010000}"/>
    <cellStyle name="Normal 20" xfId="55" xr:uid="{00000000-0005-0000-0000-00005B010000}"/>
    <cellStyle name="Normal 21" xfId="390" xr:uid="{00000000-0005-0000-0000-00005C010000}"/>
    <cellStyle name="Normal 21 2" xfId="393" xr:uid="{1FA1CA85-F191-445A-AF79-8AD87D77C758}"/>
    <cellStyle name="Normal 22" xfId="391" xr:uid="{00000000-0005-0000-0000-00005D010000}"/>
    <cellStyle name="Normal 22 2" xfId="404" xr:uid="{66B852E6-2EBF-45D0-BEA1-E7A2E9FFF7CE}"/>
    <cellStyle name="Normal 23" xfId="392" xr:uid="{00000000-0005-0000-0000-00005E010000}"/>
    <cellStyle name="Normal 23 2" xfId="405" xr:uid="{0CA89504-1F08-4005-B38A-0BAC7E8B9774}"/>
    <cellStyle name="Normal 3" xfId="56" xr:uid="{00000000-0005-0000-0000-00005F010000}"/>
    <cellStyle name="Normal 3 2" xfId="84" xr:uid="{00000000-0005-0000-0000-000060010000}"/>
    <cellStyle name="Normal 3 2 2" xfId="117" xr:uid="{00000000-0005-0000-0000-000061010000}"/>
    <cellStyle name="Normal 3 2 2 2" xfId="252" xr:uid="{00000000-0005-0000-0000-000062010000}"/>
    <cellStyle name="Normal 3 2 2 2 2" xfId="385" xr:uid="{00000000-0005-0000-0000-000063010000}"/>
    <cellStyle name="Normal 3 2 2 3" xfId="183" xr:uid="{00000000-0005-0000-0000-000064010000}"/>
    <cellStyle name="Normal 3 2 2 4" xfId="318" xr:uid="{00000000-0005-0000-0000-000065010000}"/>
    <cellStyle name="Normal 3 2 3" xfId="219" xr:uid="{00000000-0005-0000-0000-000066010000}"/>
    <cellStyle name="Normal 3 2 3 2" xfId="352" xr:uid="{00000000-0005-0000-0000-000067010000}"/>
    <cellStyle name="Normal 3 2 4" xfId="150" xr:uid="{00000000-0005-0000-0000-000068010000}"/>
    <cellStyle name="Normal 3 2 5" xfId="285" xr:uid="{00000000-0005-0000-0000-000069010000}"/>
    <cellStyle name="Normal 3 3" xfId="70" xr:uid="{00000000-0005-0000-0000-00006A010000}"/>
    <cellStyle name="Normal 3 4" xfId="100" xr:uid="{00000000-0005-0000-0000-00006B010000}"/>
    <cellStyle name="Normal 3 4 2" xfId="235" xr:uid="{00000000-0005-0000-0000-00006C010000}"/>
    <cellStyle name="Normal 3 4 2 2" xfId="368" xr:uid="{00000000-0005-0000-0000-00006D010000}"/>
    <cellStyle name="Normal 3 4 3" xfId="166" xr:uid="{00000000-0005-0000-0000-00006E010000}"/>
    <cellStyle name="Normal 3 4 4" xfId="301" xr:uid="{00000000-0005-0000-0000-00006F010000}"/>
    <cellStyle name="Normal 3 5" xfId="63" xr:uid="{00000000-0005-0000-0000-000070010000}"/>
    <cellStyle name="Normal 3 5 2" xfId="202" xr:uid="{00000000-0005-0000-0000-000071010000}"/>
    <cellStyle name="Normal 3 5 3" xfId="335" xr:uid="{00000000-0005-0000-0000-000072010000}"/>
    <cellStyle name="Normal 3 6" xfId="133" xr:uid="{00000000-0005-0000-0000-000073010000}"/>
    <cellStyle name="Normal 3 7" xfId="268" xr:uid="{00000000-0005-0000-0000-000074010000}"/>
    <cellStyle name="Normal 4" xfId="2" xr:uid="{00000000-0005-0000-0000-000075010000}"/>
    <cellStyle name="Normal 4 2" xfId="187" xr:uid="{00000000-0005-0000-0000-000076010000}"/>
    <cellStyle name="Normal 4 3" xfId="322" xr:uid="{00000000-0005-0000-0000-000077010000}"/>
    <cellStyle name="Normal 4 4" xfId="57" xr:uid="{00000000-0005-0000-0000-000078010000}"/>
    <cellStyle name="Normal 5" xfId="58" xr:uid="{00000000-0005-0000-0000-000079010000}"/>
    <cellStyle name="Normal 5 2" xfId="200" xr:uid="{00000000-0005-0000-0000-00007A010000}"/>
    <cellStyle name="Normal 6" xfId="59" xr:uid="{00000000-0005-0000-0000-00007B010000}"/>
    <cellStyle name="Normal 6 2" xfId="389" xr:uid="{00000000-0005-0000-0000-00007C010000}"/>
    <cellStyle name="Normal 7" xfId="60" xr:uid="{00000000-0005-0000-0000-00007D010000}"/>
    <cellStyle name="Normal 8" xfId="61" xr:uid="{00000000-0005-0000-0000-00007E010000}"/>
    <cellStyle name="Normal 9" xfId="62" xr:uid="{00000000-0005-0000-0000-00007F010000}"/>
    <cellStyle name="Satisfaisant" xfId="8" builtinId="26" customBuiltin="1"/>
    <cellStyle name="Sortie" xfId="12" builtinId="21" customBuiltin="1"/>
    <cellStyle name="Texte explicatif" xfId="17" builtinId="53" customBuiltin="1"/>
    <cellStyle name="Titre" xfId="3" builtinId="15" customBuiltin="1"/>
    <cellStyle name="Titre 2" xfId="395" xr:uid="{9A6660A0-1758-4029-8072-B47FF19B4B42}"/>
    <cellStyle name="Titre 1" xfId="4" builtinId="16" customBuiltin="1"/>
    <cellStyle name="Titre 2" xfId="5" builtinId="17" customBuiltin="1"/>
    <cellStyle name="Titre 3" xfId="6" builtinId="18" customBuiltin="1"/>
    <cellStyle name="Titre 4" xfId="7" builtinId="19" customBuiltin="1"/>
    <cellStyle name="Total" xfId="18" builtinId="25" customBuiltin="1"/>
    <cellStyle name="Vérification" xfId="15" builtinId="23" customBuiltin="1"/>
  </cellStyles>
  <dxfs count="59">
    <dxf>
      <font>
        <color theme="9" tint="-0.499984740745262"/>
      </font>
      <fill>
        <patternFill>
          <bgColor theme="5" tint="0.59996337778862885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5" tint="0.59996337778862885"/>
        </patternFill>
      </fill>
    </dxf>
    <dxf>
      <font>
        <color auto="1"/>
      </font>
      <fill>
        <patternFill>
          <bgColor rgb="FF92D050"/>
        </patternFill>
      </fill>
    </dxf>
    <dxf>
      <font>
        <color theme="9" tint="-0.499984740745262"/>
      </font>
      <fill>
        <patternFill>
          <bgColor theme="5" tint="0.59996337778862885"/>
        </patternFill>
      </fill>
    </dxf>
    <dxf>
      <font>
        <color auto="1"/>
      </font>
      <fill>
        <patternFill>
          <bgColor rgb="FF92D050"/>
        </patternFill>
      </fill>
    </dxf>
    <dxf>
      <font>
        <color theme="9" tint="-0.499984740745262"/>
      </font>
      <fill>
        <patternFill>
          <bgColor theme="5" tint="0.59996337778862885"/>
        </patternFill>
      </fill>
    </dxf>
    <dxf>
      <font>
        <color auto="1"/>
      </font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F00"/>
      <color rgb="FF99FF66"/>
      <color rgb="FFFF99FF"/>
      <color rgb="FFC60A83"/>
      <color rgb="FFFFE599"/>
      <color rgb="FFFF66CC"/>
      <color rgb="FFFF66FF"/>
      <color rgb="FFFFCCFF"/>
      <color rgb="FFE9F57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Produits\BASE%20DE%20DONNEE_FICHES%20TECHNIQUES\BASE_DE_DONNEE_WFC%20-%20CG\Lot%201%20-%20Froid\EXCEL\FS_referentiel_produits_standards.xlsx" TargetMode="External"/><Relationship Id="rId1" Type="http://schemas.openxmlformats.org/officeDocument/2006/relationships/externalLinkPath" Target="file:///S:\Produits\BASE%20DE%20DONNEE_FICHES%20TECHNIQUES\BASE_DE_DONNEE_WFC%20-%20CG\Lot%201%20-%20Froid\EXCEL\FS_referentiel_produits_standard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S_referentiel_produits_std"/>
      <sheetName val="FS_referentiel_produits_standar"/>
      <sheetName val="Energie Alter"/>
      <sheetName val="Synth NCEE"/>
      <sheetName val="FT parc FS"/>
      <sheetName val="Catégo."/>
    </sheetNames>
    <sheetDataSet>
      <sheetData sheetId="0">
        <row r="8">
          <cell r="A8" t="str">
            <v>FR_FR</v>
          </cell>
          <cell r="B8" t="str">
            <v>FS_PF</v>
          </cell>
          <cell r="C8" t="str">
            <v>FS_ST</v>
          </cell>
          <cell r="D8" t="str">
            <v/>
          </cell>
          <cell r="E8" t="str">
            <v>FIAT</v>
          </cell>
          <cell r="F8" t="str">
            <v>DOBLO</v>
          </cell>
          <cell r="G8" t="str">
            <v>V3</v>
          </cell>
          <cell r="H8" t="str">
            <v>M</v>
          </cell>
          <cell r="I8" t="str">
            <v/>
          </cell>
          <cell r="J8" t="str">
            <v/>
          </cell>
          <cell r="K8" t="str">
            <v>LC-STRATE FORME</v>
          </cell>
          <cell r="L8" t="str">
            <v/>
          </cell>
          <cell r="M8" t="str">
            <v>DBOFF - 130CV BVA</v>
          </cell>
          <cell r="N8" t="str">
            <v>02</v>
          </cell>
          <cell r="O8">
            <v>1845</v>
          </cell>
          <cell r="P8">
            <v>1245</v>
          </cell>
          <cell r="Q8">
            <v>1040</v>
          </cell>
          <cell r="R8" t="str">
            <v/>
          </cell>
          <cell r="S8">
            <v>1970</v>
          </cell>
          <cell r="T8">
            <v>1848</v>
          </cell>
          <cell r="U8">
            <v>4753</v>
          </cell>
          <cell r="V8">
            <v>640</v>
          </cell>
          <cell r="W8">
            <v>2975</v>
          </cell>
          <cell r="X8">
            <v>886</v>
          </cell>
          <cell r="Y8" t="str">
            <v/>
          </cell>
          <cell r="Z8" t="str">
            <v/>
          </cell>
          <cell r="AA8" t="str">
            <v>FIAT DOBLO VAN XL  - FOURGON FRIGORIFIQUE</v>
          </cell>
          <cell r="AB8">
            <v>2370</v>
          </cell>
          <cell r="AC8">
            <v>630</v>
          </cell>
          <cell r="AD8" t="str">
            <v/>
          </cell>
          <cell r="AE8" t="str">
            <v/>
          </cell>
          <cell r="AF8" t="str">
            <v/>
          </cell>
          <cell r="AG8" t="str">
            <v/>
          </cell>
          <cell r="AH8" t="str">
            <v>2.2</v>
          </cell>
          <cell r="AI8" t="str">
            <v>C_DOBLO-VAN_Série3_CLIM-MAN_Rad+Cam._Sam.</v>
          </cell>
          <cell r="AJ8" t="str">
            <v>M_DOBLO-VAN_1.5_130-€6e_EAT8</v>
          </cell>
          <cell r="AK8" t="str">
            <v>CH_DOBLO-VAN_205-60R16-ADB_GSRII</v>
          </cell>
          <cell r="AL8" t="str">
            <v>FF_DOBLO-VAN_PLC_LC-STRATEFORME</v>
          </cell>
          <cell r="AM8" t="str">
            <v>GF_N-HE-200S_A_C_790mm</v>
          </cell>
          <cell r="AN8" t="str">
            <v/>
          </cell>
          <cell r="AO8" t="str">
            <v>\\petitforestier.fr\siege\Applications\BaseProduits\Datas\Publipostage\Images\PUBLICATION - EURO 6\PLAN VEHICULES\FIAT_DOBLO-VAN_DBOFF02_TRIMAT_HE200S+CARENAGE.jpg</v>
          </cell>
          <cell r="AP8" t="str">
            <v/>
          </cell>
          <cell r="AQ8" t="str">
            <v/>
          </cell>
          <cell r="AR8" t="str">
            <v/>
          </cell>
          <cell r="AS8" t="str">
            <v/>
          </cell>
          <cell r="AT8" t="str">
            <v/>
          </cell>
          <cell r="AU8" t="str">
            <v/>
          </cell>
          <cell r="AV8" t="str">
            <v/>
          </cell>
          <cell r="AW8" t="str">
            <v/>
          </cell>
          <cell r="AX8" t="str">
            <v/>
          </cell>
          <cell r="AY8" t="str">
            <v/>
          </cell>
          <cell r="AZ8" t="str">
            <v/>
          </cell>
          <cell r="BA8" t="str">
            <v/>
          </cell>
          <cell r="BB8" t="str">
            <v/>
          </cell>
          <cell r="BC8" t="str">
            <v/>
          </cell>
          <cell r="BD8" t="str">
            <v/>
          </cell>
          <cell r="BE8" t="str">
            <v/>
          </cell>
          <cell r="BF8" t="str">
            <v/>
          </cell>
          <cell r="BG8" t="str">
            <v/>
          </cell>
          <cell r="BH8" t="str">
            <v/>
          </cell>
          <cell r="BI8" t="str">
            <v/>
          </cell>
          <cell r="BJ8" t="str">
            <v/>
          </cell>
          <cell r="BK8" t="str">
            <v/>
          </cell>
        </row>
        <row r="10">
          <cell r="A10" t="str">
            <v>FR_FR</v>
          </cell>
          <cell r="B10" t="str">
            <v>FS_PF</v>
          </cell>
          <cell r="C10" t="str">
            <v>FS_ST</v>
          </cell>
          <cell r="D10" t="str">
            <v/>
          </cell>
          <cell r="E10" t="str">
            <v>FIAT</v>
          </cell>
          <cell r="F10" t="str">
            <v>E-DOBLO</v>
          </cell>
          <cell r="G10" t="str">
            <v>V3</v>
          </cell>
          <cell r="H10" t="str">
            <v>M</v>
          </cell>
          <cell r="I10" t="str">
            <v/>
          </cell>
          <cell r="J10" t="str">
            <v/>
          </cell>
          <cell r="K10" t="str">
            <v>LC-STRATE FORME</v>
          </cell>
          <cell r="L10" t="str">
            <v/>
          </cell>
          <cell r="M10" t="str">
            <v>DBOFF E</v>
          </cell>
          <cell r="N10" t="str">
            <v>02</v>
          </cell>
          <cell r="O10">
            <v>1845</v>
          </cell>
          <cell r="P10">
            <v>1245</v>
          </cell>
          <cell r="Q10">
            <v>1040</v>
          </cell>
          <cell r="R10" t="str">
            <v/>
          </cell>
          <cell r="S10">
            <v>1970</v>
          </cell>
          <cell r="T10">
            <v>1848</v>
          </cell>
          <cell r="U10">
            <v>4753</v>
          </cell>
          <cell r="V10">
            <v>640</v>
          </cell>
          <cell r="W10">
            <v>2975</v>
          </cell>
          <cell r="X10">
            <v>886</v>
          </cell>
          <cell r="Y10" t="str">
            <v/>
          </cell>
          <cell r="Z10" t="str">
            <v/>
          </cell>
          <cell r="AA10" t="str">
            <v>FIAT DOBLO VAN XL ELECTRIQUE - FOURGON FRIGORIFIQUE</v>
          </cell>
          <cell r="AB10">
            <v>2385</v>
          </cell>
          <cell r="AC10">
            <v>330</v>
          </cell>
          <cell r="AD10" t="str">
            <v/>
          </cell>
          <cell r="AE10" t="str">
            <v/>
          </cell>
          <cell r="AF10" t="str">
            <v/>
          </cell>
          <cell r="AG10" t="str">
            <v/>
          </cell>
          <cell r="AH10" t="str">
            <v>2.2</v>
          </cell>
          <cell r="AI10" t="str">
            <v>C_E-DOBLO-VAN_Série3_Sam._Rad+Cam.</v>
          </cell>
          <cell r="AJ10" t="str">
            <v>M_E-DOBLO-VAN_100kW_54kWh_Smart-Câble</v>
          </cell>
          <cell r="AK10" t="str">
            <v>CH_E-DOBLO-VAN_215-60R16_GSRII</v>
          </cell>
          <cell r="AL10" t="str">
            <v>FF_E-DOBLO-VAN_PLC_LC-STRATEFORME-IR</v>
          </cell>
          <cell r="AM10" t="str">
            <v>GF_N-HE-200S_A_C_790mm_Batt6kWh_Cable10m_2Cont.</v>
          </cell>
          <cell r="AN10" t="str">
            <v/>
          </cell>
          <cell r="AO10" t="str">
            <v>\\petitforestier.fr\siege\Applications\BaseProduits\Datas\Publipostage\Images\PUBLICATION - EURO 6\PLAN VEHICULES\FIAT_E-DOBLO-VAN_DBOFF02_TRIMAT_HE200S+CARENAGE.jpg</v>
          </cell>
          <cell r="AP10" t="str">
            <v/>
          </cell>
          <cell r="AQ10" t="str">
            <v/>
          </cell>
          <cell r="AR10" t="str">
            <v/>
          </cell>
          <cell r="AS10" t="str">
            <v/>
          </cell>
          <cell r="AT10" t="str">
            <v/>
          </cell>
          <cell r="AU10" t="str">
            <v/>
          </cell>
          <cell r="AV10" t="str">
            <v/>
          </cell>
          <cell r="AW10" t="str">
            <v/>
          </cell>
          <cell r="AX10" t="str">
            <v/>
          </cell>
          <cell r="AY10" t="str">
            <v/>
          </cell>
          <cell r="AZ10" t="str">
            <v/>
          </cell>
          <cell r="BA10" t="str">
            <v/>
          </cell>
          <cell r="BB10" t="str">
            <v/>
          </cell>
          <cell r="BC10" t="str">
            <v/>
          </cell>
          <cell r="BD10" t="str">
            <v/>
          </cell>
          <cell r="BE10" t="str">
            <v/>
          </cell>
          <cell r="BF10" t="str">
            <v/>
          </cell>
          <cell r="BG10" t="str">
            <v/>
          </cell>
          <cell r="BH10" t="str">
            <v/>
          </cell>
          <cell r="BI10" t="str">
            <v/>
          </cell>
          <cell r="BJ10" t="str">
            <v/>
          </cell>
          <cell r="BK10" t="str">
            <v/>
          </cell>
        </row>
        <row r="12">
          <cell r="A12" t="str">
            <v>FR_FR</v>
          </cell>
          <cell r="B12" t="str">
            <v>FS_PF</v>
          </cell>
          <cell r="C12" t="str">
            <v>FS_ST</v>
          </cell>
          <cell r="D12" t="str">
            <v/>
          </cell>
          <cell r="E12" t="str">
            <v>FIAT</v>
          </cell>
          <cell r="F12" t="str">
            <v>SCUDO</v>
          </cell>
          <cell r="G12" t="str">
            <v>V3</v>
          </cell>
          <cell r="H12" t="str">
            <v>M</v>
          </cell>
          <cell r="I12" t="str">
            <v/>
          </cell>
          <cell r="J12" t="str">
            <v/>
          </cell>
          <cell r="K12" t="str">
            <v>LC-STRATE FORME</v>
          </cell>
          <cell r="L12" t="str">
            <v/>
          </cell>
          <cell r="M12" t="str">
            <v>SCOFF</v>
          </cell>
          <cell r="N12" t="str">
            <v>H02</v>
          </cell>
          <cell r="O12">
            <v>2450</v>
          </cell>
          <cell r="P12">
            <v>1325</v>
          </cell>
          <cell r="Q12">
            <v>1120</v>
          </cell>
          <cell r="R12" t="str">
            <v/>
          </cell>
          <cell r="S12">
            <v>2090</v>
          </cell>
          <cell r="T12">
            <v>1920</v>
          </cell>
          <cell r="U12">
            <v>5306</v>
          </cell>
          <cell r="V12">
            <v>657</v>
          </cell>
          <cell r="W12">
            <v>3275</v>
          </cell>
          <cell r="X12">
            <v>1153</v>
          </cell>
          <cell r="Y12" t="str">
            <v/>
          </cell>
          <cell r="Z12" t="str">
            <v/>
          </cell>
          <cell r="AA12" t="str">
            <v>FIAT SCUDO LONG - FOURGON FRIGORIFIQUE</v>
          </cell>
          <cell r="AB12">
            <v>3100</v>
          </cell>
          <cell r="AC12">
            <v>980</v>
          </cell>
          <cell r="AD12" t="str">
            <v/>
          </cell>
          <cell r="AE12" t="str">
            <v/>
          </cell>
          <cell r="AF12" t="str">
            <v/>
          </cell>
          <cell r="AG12" t="str">
            <v/>
          </cell>
          <cell r="AH12" t="str">
            <v>3.7</v>
          </cell>
          <cell r="AI12" t="str">
            <v>C_SCUDO-FGT-Série3_Sam._Rad+Cam.10''HD_Sam.</v>
          </cell>
          <cell r="AJ12" t="str">
            <v>M_SCUDO_2.2_150-€6e-bis</v>
          </cell>
          <cell r="AK12" t="str">
            <v>CH_SCUDO-FGT_215-65R16_GSRII</v>
          </cell>
          <cell r="AL12" t="str">
            <v>FF_SCUDO_Renf_LC-STRATEFORME-IR</v>
          </cell>
          <cell r="AM12" t="str">
            <v>GF_X200T-Muffler_A_C_790_870mm_Cable10m</v>
          </cell>
          <cell r="AN12" t="str">
            <v/>
          </cell>
          <cell r="AO12" t="str">
            <v>\\petitforestier.fr\siege\Applications\BaseProduits\Datas\Publipostage\Images\PUBLICATION - EURO 6\PLAN VEHICULES\FIAT_SCUDO_SCOFF02_X200T.jpg</v>
          </cell>
          <cell r="AP12" t="str">
            <v/>
          </cell>
          <cell r="AQ12" t="str">
            <v/>
          </cell>
          <cell r="AR12" t="str">
            <v/>
          </cell>
          <cell r="AS12" t="str">
            <v/>
          </cell>
          <cell r="AT12" t="str">
            <v/>
          </cell>
          <cell r="AU12" t="str">
            <v/>
          </cell>
          <cell r="AV12" t="str">
            <v/>
          </cell>
          <cell r="AW12" t="str">
            <v/>
          </cell>
          <cell r="AX12" t="str">
            <v/>
          </cell>
          <cell r="AY12" t="str">
            <v/>
          </cell>
          <cell r="AZ12" t="str">
            <v/>
          </cell>
          <cell r="BA12" t="str">
            <v/>
          </cell>
          <cell r="BB12" t="str">
            <v/>
          </cell>
          <cell r="BC12" t="str">
            <v/>
          </cell>
          <cell r="BD12" t="str">
            <v/>
          </cell>
          <cell r="BE12" t="str">
            <v/>
          </cell>
          <cell r="BF12" t="str">
            <v/>
          </cell>
          <cell r="BG12" t="str">
            <v/>
          </cell>
          <cell r="BH12" t="str">
            <v/>
          </cell>
          <cell r="BI12" t="str">
            <v/>
          </cell>
          <cell r="BJ12" t="str">
            <v/>
          </cell>
          <cell r="BK12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file:///\\172.41.0.50\donnees\Produits\BASE%20DE%20DONNEE_FICHES%20TECHNIQUES\BASE_DE_DONNEE_WFC%20-%20CG\Image%20Client\API.jpg" TargetMode="External"/><Relationship Id="rId13" Type="http://schemas.openxmlformats.org/officeDocument/2006/relationships/hyperlink" Target="file:///\\172.41.0.50\donnees\Produits\BASE%20DE%20DONNEE_FICHES%20TECHNIQUES\BASE_DE_DONNEE_WFC%20-%20CG\Image%20Carburant\DIESEL.jpg" TargetMode="External"/><Relationship Id="rId18" Type="http://schemas.openxmlformats.org/officeDocument/2006/relationships/hyperlink" Target="file:///\\172.41.0.50\donnees\Produits\BASE%20DE%20DONNEE_FICHES%20TECHNIQUES\BASE_DE_DONNEE_WFC%20-%20CG\Image%20Carburant\DIESEL.jpg" TargetMode="External"/><Relationship Id="rId3" Type="http://schemas.openxmlformats.org/officeDocument/2006/relationships/hyperlink" Target="../../../AppData/Local/Microsoft/Olk/Attachments/ooa-b5bebba7-a907-4a4d-bdaa-31acb51a05ce/9f69a410c41d131c3decb283d351a4b65e4e594a11a3cb0390c6c18dfebbec02/Image%20Vehicule/RENAULT_KANGOO_KOCF01-E200-DEFLECTEUR.jpg" TargetMode="External"/><Relationship Id="rId7" Type="http://schemas.openxmlformats.org/officeDocument/2006/relationships/hyperlink" Target="file:///\\172.41.0.50\donnees\Produits\BASE%20DE%20DONNEE_FICHES%20TECHNIQUES\BASE_DE_DONNEE_WFC%20-%20CG\Image%20Client\API.jpg" TargetMode="External"/><Relationship Id="rId12" Type="http://schemas.openxmlformats.org/officeDocument/2006/relationships/hyperlink" Target="file:///\\172.41.0.50\donnees\Produits\BASE%20DE%20DONNEE_FICHES%20TECHNIQUES\BASE_DE_DONNEE_WFC%20-%20CG\Image%20Client\SODEXO.jpg" TargetMode="External"/><Relationship Id="rId17" Type="http://schemas.openxmlformats.org/officeDocument/2006/relationships/hyperlink" Target="file:///\\172.41.0.50\donnees\Produits\BASE%20DE%20DONNEE_FICHES%20TECHNIQUES\BASE_DE_DONNEE_WFC%20-%20CG\Image%20Carburant\DIESEL.jpg" TargetMode="External"/><Relationship Id="rId2" Type="http://schemas.openxmlformats.org/officeDocument/2006/relationships/hyperlink" Target="../../../AppData/Local/Microsoft/Olk/Attachments/ooa-b5bebba7-a907-4a4d-bdaa-31acb51a05ce/9f69a410c41d131c3decb283d351a4b65e4e594a11a3cb0390c6c18dfebbec02/Image%20Vehicule/RENAULT_KANGOO_KOCF01-E200-DEFLECTEUR.jpg" TargetMode="External"/><Relationship Id="rId16" Type="http://schemas.openxmlformats.org/officeDocument/2006/relationships/hyperlink" Target="file:///\\172.41.0.50\donnees\Produits\BASE%20DE%20DONNEE_FICHES%20TECHNIQUES\BASE_DE_DONNEE_WFC%20-%20CG\Image%20Carburant\DIESEL.jpg" TargetMode="External"/><Relationship Id="rId1" Type="http://schemas.openxmlformats.org/officeDocument/2006/relationships/hyperlink" Target="../../../AppData/Local/Microsoft/Olk/Attachments/ooa-b5bebba7-a907-4a4d-bdaa-31acb51a05ce/9f69a410c41d131c3decb283d351a4b65e4e594a11a3cb0390c6c18dfebbec02/Image%20Vehicule/RENAULT_KANGOO_KOCF01-E200-DEFLECTEUR.jpg" TargetMode="External"/><Relationship Id="rId6" Type="http://schemas.openxmlformats.org/officeDocument/2006/relationships/hyperlink" Target="file:///\\172.41.0.50\donnees\Produits\BASE%20DE%20DONNEE_FICHES%20TECHNIQUES\BASE_DE_DONNEE_WFC%20-%20CG\Image%20Vehicule\IVECO_DAILY_35C-CF04.jpg" TargetMode="External"/><Relationship Id="rId11" Type="http://schemas.openxmlformats.org/officeDocument/2006/relationships/hyperlink" Target="file:///\\172.41.0.50\donnees\Produits\BASE%20DE%20DONNEE_FICHES%20TECHNIQUES\BASE_DE_DONNEE_WFC%20-%20CG\Image%20Client\SODEXO.jpg" TargetMode="External"/><Relationship Id="rId5" Type="http://schemas.openxmlformats.org/officeDocument/2006/relationships/hyperlink" Target="file:///\\172.41.0.50\donnees\Produits\BASE%20DE%20DONNEE_FICHES%20TECHNIQUES\BASE_DE_DONNEE_WFC%20-%20CG\Image%20Vehicule\IVECO_DAILY_35C-CF04.jpg" TargetMode="External"/><Relationship Id="rId15" Type="http://schemas.openxmlformats.org/officeDocument/2006/relationships/hyperlink" Target="file:///\\172.41.0.50\donnees\Produits\BASE%20DE%20DONNEE_FICHES%20TECHNIQUES\BASE_DE_DONNEE_WFC%20-%20CG\Image%20Carburant\DIESEL.jpg" TargetMode="External"/><Relationship Id="rId10" Type="http://schemas.openxmlformats.org/officeDocument/2006/relationships/hyperlink" Target="file:///\\172.41.0.50\donnees\Produits\BASE%20DE%20DONNEE_FICHES%20TECHNIQUES\BASE_DE_DONNEE_WFC%20-%20CG\Image%20Client\COMPASS.jpg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file:///\\172.41.0.50\donnees\Produits\BASE%20DE%20DONNEE_FICHES%20TECHNIQUES\BASE_DE_DONNEE_WFC%20-%20CG\Image%20Vehicule\IVECO_DAILY_35C-CF04.jpg" TargetMode="External"/><Relationship Id="rId9" Type="http://schemas.openxmlformats.org/officeDocument/2006/relationships/hyperlink" Target="file:///\\172.41.0.50\donnees\Produits\BASE%20DE%20DONNEE_FICHES%20TECHNIQUES\BASE_DE_DONNEE_WFC%20-%20CG\Image%20Client\COMPASS.jpg" TargetMode="External"/><Relationship Id="rId14" Type="http://schemas.openxmlformats.org/officeDocument/2006/relationships/hyperlink" Target="file:///\\172.41.0.50\donnees\Produits\BASE%20DE%20DONNEE_FICHES%20TECHNIQUES\BASE_DE_DONNEE_WFC%20-%20CG\Image%20Carburant\DIESEL.jp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file:///\\172.41.0.50\donnees\Produits\BASE%20DE%20DONNEE_FICHES%20TECHNIQUES\BASE_DE_DONNEE_WFC%20-%20CG\Image%20Client\API.jpg" TargetMode="External"/><Relationship Id="rId13" Type="http://schemas.openxmlformats.org/officeDocument/2006/relationships/hyperlink" Target="file:///\\172.41.0.50\donnees\Produits\BASE%20DE%20DONNEE_FICHES%20TECHNIQUES\BASE_DE_DONNEE_WFC%20-%20CG\Image%20Carburant\DIESEL.jpg" TargetMode="External"/><Relationship Id="rId18" Type="http://schemas.openxmlformats.org/officeDocument/2006/relationships/hyperlink" Target="file:///\\172.41.0.50\donnees\Produits\BASE%20DE%20DONNEE_FICHES%20TECHNIQUES\BASE_DE_DONNEE_WFC%20-%20CG\Image%20Carburant\DIESEL.jpg" TargetMode="External"/><Relationship Id="rId3" Type="http://schemas.openxmlformats.org/officeDocument/2006/relationships/hyperlink" Target="../../../AppData/Local/Microsoft/Olk/Attachments/ooa-b5bebba7-a907-4a4d-bdaa-31acb51a05ce/9f69a410c41d131c3decb283d351a4b65e4e594a11a3cb0390c6c18dfebbec02/Image%20Vehicule/RENAULT_KANGOO_KOCF01-E200-DEFLECTEUR.jpg" TargetMode="External"/><Relationship Id="rId7" Type="http://schemas.openxmlformats.org/officeDocument/2006/relationships/hyperlink" Target="file:///\\172.41.0.50\donnees\Produits\BASE%20DE%20DONNEE_FICHES%20TECHNIQUES\BASE_DE_DONNEE_WFC%20-%20CG\Image%20Client\API.jpg" TargetMode="External"/><Relationship Id="rId12" Type="http://schemas.openxmlformats.org/officeDocument/2006/relationships/hyperlink" Target="file:///\\172.41.0.50\donnees\Produits\BASE%20DE%20DONNEE_FICHES%20TECHNIQUES\BASE_DE_DONNEE_WFC%20-%20CG\Image%20Client\SODEXO.jpg" TargetMode="External"/><Relationship Id="rId17" Type="http://schemas.openxmlformats.org/officeDocument/2006/relationships/hyperlink" Target="file:///\\172.41.0.50\donnees\Produits\BASE%20DE%20DONNEE_FICHES%20TECHNIQUES\BASE_DE_DONNEE_WFC%20-%20CG\Image%20Carburant\DIESEL.jpg" TargetMode="External"/><Relationship Id="rId2" Type="http://schemas.openxmlformats.org/officeDocument/2006/relationships/hyperlink" Target="../../../AppData/Local/Microsoft/Olk/Attachments/ooa-b5bebba7-a907-4a4d-bdaa-31acb51a05ce/9f69a410c41d131c3decb283d351a4b65e4e594a11a3cb0390c6c18dfebbec02/Image%20Vehicule/RENAULT_KANGOO_KOCF01-E200-DEFLECTEUR.jpg" TargetMode="External"/><Relationship Id="rId16" Type="http://schemas.openxmlformats.org/officeDocument/2006/relationships/hyperlink" Target="file:///\\172.41.0.50\donnees\Produits\BASE%20DE%20DONNEE_FICHES%20TECHNIQUES\BASE_DE_DONNEE_WFC%20-%20CG\Image%20Carburant\DIESEL.jpg" TargetMode="External"/><Relationship Id="rId1" Type="http://schemas.openxmlformats.org/officeDocument/2006/relationships/hyperlink" Target="../../../AppData/Local/Microsoft/Olk/Attachments/ooa-b5bebba7-a907-4a4d-bdaa-31acb51a05ce/9f69a410c41d131c3decb283d351a4b65e4e594a11a3cb0390c6c18dfebbec02/Image%20Vehicule/RENAULT_KANGOO_KOCF01-E200-DEFLECTEUR.jpg" TargetMode="External"/><Relationship Id="rId6" Type="http://schemas.openxmlformats.org/officeDocument/2006/relationships/hyperlink" Target="file:///\\172.41.0.50\donnees\Produits\BASE%20DE%20DONNEE_FICHES%20TECHNIQUES\BASE_DE_DONNEE_WFC%20-%20CG\Image%20Vehicule\IVECO_DAILY_35C-CF04.jpg" TargetMode="External"/><Relationship Id="rId11" Type="http://schemas.openxmlformats.org/officeDocument/2006/relationships/hyperlink" Target="file:///\\172.41.0.50\donnees\Produits\BASE%20DE%20DONNEE_FICHES%20TECHNIQUES\BASE_DE_DONNEE_WFC%20-%20CG\Image%20Client\SODEXO.jpg" TargetMode="External"/><Relationship Id="rId5" Type="http://schemas.openxmlformats.org/officeDocument/2006/relationships/hyperlink" Target="file:///\\172.41.0.50\donnees\Produits\BASE%20DE%20DONNEE_FICHES%20TECHNIQUES\BASE_DE_DONNEE_WFC%20-%20CG\Image%20Vehicule\IVECO_DAILY_35C-CF04.jpg" TargetMode="External"/><Relationship Id="rId15" Type="http://schemas.openxmlformats.org/officeDocument/2006/relationships/hyperlink" Target="file:///\\172.41.0.50\donnees\Produits\BASE%20DE%20DONNEE_FICHES%20TECHNIQUES\BASE_DE_DONNEE_WFC%20-%20CG\Image%20Carburant\DIESEL.jpg" TargetMode="External"/><Relationship Id="rId10" Type="http://schemas.openxmlformats.org/officeDocument/2006/relationships/hyperlink" Target="file:///\\172.41.0.50\donnees\Produits\BASE%20DE%20DONNEE_FICHES%20TECHNIQUES\BASE_DE_DONNEE_WFC%20-%20CG\Image%20Client\COMPASS.jpg" TargetMode="External"/><Relationship Id="rId19" Type="http://schemas.openxmlformats.org/officeDocument/2006/relationships/printerSettings" Target="../printerSettings/printerSettings2.bin"/><Relationship Id="rId4" Type="http://schemas.openxmlformats.org/officeDocument/2006/relationships/hyperlink" Target="file:///\\172.41.0.50\donnees\Produits\BASE%20DE%20DONNEE_FICHES%20TECHNIQUES\BASE_DE_DONNEE_WFC%20-%20CG\Image%20Vehicule\IVECO_DAILY_35C-CF04.jpg" TargetMode="External"/><Relationship Id="rId9" Type="http://schemas.openxmlformats.org/officeDocument/2006/relationships/hyperlink" Target="file:///\\172.41.0.50\donnees\Produits\BASE%20DE%20DONNEE_FICHES%20TECHNIQUES\BASE_DE_DONNEE_WFC%20-%20CG\Image%20Client\COMPASS.jpg" TargetMode="External"/><Relationship Id="rId14" Type="http://schemas.openxmlformats.org/officeDocument/2006/relationships/hyperlink" Target="file:///\\172.41.0.50\donnees\Produits\BASE%20DE%20DONNEE_FICHES%20TECHNIQUES\BASE_DE_DONNEE_WFC%20-%20CG\Image%20Carburant\DIESEL.jp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W12"/>
  <sheetViews>
    <sheetView zoomScale="70" zoomScaleNormal="70" workbookViewId="0">
      <pane xSplit="14" ySplit="1" topLeftCell="AF2" activePane="bottomRight" state="frozen"/>
      <selection pane="topRight" activeCell="O1" sqref="O1"/>
      <selection pane="bottomLeft" activeCell="A2" sqref="A2"/>
      <selection pane="bottomRight" activeCell="C19" sqref="C19"/>
    </sheetView>
  </sheetViews>
  <sheetFormatPr baseColWidth="10" defaultColWidth="10.7109375" defaultRowHeight="24.95" customHeight="1" outlineLevelCol="1" x14ac:dyDescent="0.25"/>
  <cols>
    <col min="1" max="1" width="10.7109375" style="87"/>
    <col min="2" max="2" width="16.42578125" style="87" customWidth="1"/>
    <col min="3" max="3" width="13.28515625" style="87" customWidth="1"/>
    <col min="4" max="4" width="12.140625" style="87" customWidth="1"/>
    <col min="5" max="5" width="13.85546875" style="87" customWidth="1"/>
    <col min="6" max="6" width="13.28515625" style="87" customWidth="1"/>
    <col min="7" max="9" width="10.7109375" style="87" customWidth="1" outlineLevel="1"/>
    <col min="10" max="10" width="13.28515625" style="87" customWidth="1"/>
    <col min="11" max="11" width="16.140625" style="87" customWidth="1"/>
    <col min="12" max="12" width="13.7109375" style="87" customWidth="1" outlineLevel="1"/>
    <col min="13" max="13" width="39.140625" style="87" customWidth="1"/>
    <col min="14" max="14" width="10.7109375" style="87"/>
    <col min="15" max="16" width="10.7109375" style="87" customWidth="1"/>
    <col min="17" max="17" width="10.7109375" style="87" customWidth="1" collapsed="1"/>
    <col min="18" max="18" width="8.7109375" style="87" customWidth="1"/>
    <col min="19" max="21" width="10.7109375" style="87" customWidth="1"/>
    <col min="22" max="22" width="10.7109375" style="48" customWidth="1"/>
    <col min="23" max="25" width="10.7109375" style="87" customWidth="1"/>
    <col min="26" max="26" width="10.7109375" style="87" customWidth="1" collapsed="1"/>
    <col min="27" max="27" width="81" style="89" customWidth="1"/>
    <col min="28" max="29" width="8.28515625" style="48" customWidth="1"/>
    <col min="30" max="31" width="10.7109375" style="87" customWidth="1"/>
    <col min="32" max="34" width="10.7109375" style="87" customWidth="1" collapsed="1"/>
    <col min="35" max="35" width="51.140625" style="87" customWidth="1" collapsed="1"/>
    <col min="36" max="36" width="36.5703125" style="89" customWidth="1" collapsed="1"/>
    <col min="37" max="37" width="46.28515625" style="87" customWidth="1" collapsed="1"/>
    <col min="38" max="38" width="35.85546875" style="87" customWidth="1" collapsed="1"/>
    <col min="39" max="39" width="44.140625" style="89" customWidth="1"/>
    <col min="40" max="40" width="42.5703125" style="87" customWidth="1"/>
    <col min="41" max="43" width="60.42578125" style="90" customWidth="1"/>
    <col min="44" max="44" width="10.7109375" style="87" customWidth="1" outlineLevel="1"/>
    <col min="45" max="45" width="10.7109375" style="87" customWidth="1" outlineLevel="1" collapsed="1"/>
    <col min="46" max="65" width="10.7109375" style="87" customWidth="1" outlineLevel="1"/>
    <col min="66" max="16384" width="10.7109375" style="87"/>
  </cols>
  <sheetData>
    <row r="1" spans="1:179" s="65" customFormat="1" ht="24.95" customHeight="1" x14ac:dyDescent="0.25">
      <c r="A1" s="35" t="s">
        <v>0</v>
      </c>
      <c r="B1" s="83" t="s">
        <v>81</v>
      </c>
      <c r="C1" s="35" t="s">
        <v>94</v>
      </c>
      <c r="D1" s="84" t="s">
        <v>95</v>
      </c>
      <c r="E1" s="35" t="s">
        <v>1</v>
      </c>
      <c r="F1" s="35" t="s">
        <v>2</v>
      </c>
      <c r="G1" s="35" t="s">
        <v>88</v>
      </c>
      <c r="H1" s="35" t="s">
        <v>87</v>
      </c>
      <c r="I1" s="35" t="s">
        <v>3</v>
      </c>
      <c r="J1" s="35" t="s">
        <v>152</v>
      </c>
      <c r="K1" s="35" t="s">
        <v>86</v>
      </c>
      <c r="L1" s="35" t="s">
        <v>85</v>
      </c>
      <c r="M1" s="35" t="s">
        <v>4</v>
      </c>
      <c r="N1" s="35" t="s">
        <v>5</v>
      </c>
      <c r="O1" s="35" t="s">
        <v>83</v>
      </c>
      <c r="P1" s="35" t="s">
        <v>82</v>
      </c>
      <c r="Q1" s="35" t="s">
        <v>6</v>
      </c>
      <c r="R1" s="35" t="s">
        <v>84</v>
      </c>
      <c r="S1" s="35" t="s">
        <v>7</v>
      </c>
      <c r="T1" s="35" t="s">
        <v>8</v>
      </c>
      <c r="U1" s="35" t="s">
        <v>9</v>
      </c>
      <c r="V1" s="35" t="s">
        <v>10</v>
      </c>
      <c r="W1" s="35" t="s">
        <v>11</v>
      </c>
      <c r="X1" s="35" t="s">
        <v>12</v>
      </c>
      <c r="Y1" s="35" t="s">
        <v>13</v>
      </c>
      <c r="Z1" s="35" t="s">
        <v>362</v>
      </c>
      <c r="AA1" s="35" t="s">
        <v>14</v>
      </c>
      <c r="AB1" s="35" t="s">
        <v>15</v>
      </c>
      <c r="AC1" s="35" t="s">
        <v>16</v>
      </c>
      <c r="AD1" s="35" t="s">
        <v>17</v>
      </c>
      <c r="AE1" s="35" t="s">
        <v>18</v>
      </c>
      <c r="AF1" s="35" t="s">
        <v>19</v>
      </c>
      <c r="AG1" s="35" t="s">
        <v>20</v>
      </c>
      <c r="AH1" s="35" t="s">
        <v>21</v>
      </c>
      <c r="AI1" s="35" t="s">
        <v>22</v>
      </c>
      <c r="AJ1" s="35" t="s">
        <v>415</v>
      </c>
      <c r="AK1" s="35" t="s">
        <v>24</v>
      </c>
      <c r="AL1" s="35" t="s">
        <v>25</v>
      </c>
      <c r="AM1" s="35" t="s">
        <v>26</v>
      </c>
      <c r="AN1" s="35" t="s">
        <v>27</v>
      </c>
      <c r="AO1" s="85" t="s">
        <v>783</v>
      </c>
      <c r="AP1" s="85" t="s">
        <v>784</v>
      </c>
      <c r="AQ1" s="85" t="s">
        <v>785</v>
      </c>
      <c r="AR1" s="35" t="s">
        <v>155</v>
      </c>
      <c r="AS1" s="35" t="s">
        <v>154</v>
      </c>
      <c r="AT1" s="35" t="s">
        <v>110</v>
      </c>
      <c r="AU1" s="35" t="s">
        <v>111</v>
      </c>
      <c r="AV1" s="35" t="s">
        <v>112</v>
      </c>
      <c r="AW1" s="35" t="s">
        <v>113</v>
      </c>
      <c r="AX1" s="35" t="s">
        <v>114</v>
      </c>
      <c r="AY1" s="35" t="s">
        <v>108</v>
      </c>
      <c r="AZ1" s="35" t="s">
        <v>109</v>
      </c>
      <c r="BA1" s="35" t="s">
        <v>106</v>
      </c>
      <c r="BB1" s="35" t="s">
        <v>107</v>
      </c>
      <c r="BC1" s="35" t="s">
        <v>53</v>
      </c>
      <c r="BD1" s="35" t="s">
        <v>54</v>
      </c>
      <c r="BE1" s="35" t="s">
        <v>55</v>
      </c>
      <c r="BF1" s="35" t="s">
        <v>56</v>
      </c>
      <c r="BG1" s="35" t="s">
        <v>57</v>
      </c>
      <c r="BH1" s="35" t="s">
        <v>58</v>
      </c>
      <c r="BI1" s="35" t="s">
        <v>59</v>
      </c>
      <c r="BJ1" s="35" t="s">
        <v>60</v>
      </c>
      <c r="BK1" s="35" t="s">
        <v>61</v>
      </c>
      <c r="BL1" s="35" t="s">
        <v>62</v>
      </c>
      <c r="BM1" s="35" t="s">
        <v>63</v>
      </c>
    </row>
    <row r="2" spans="1:179" s="65" customFormat="1" ht="24.95" customHeight="1" x14ac:dyDescent="0.25">
      <c r="A2" s="36" t="s">
        <v>212</v>
      </c>
      <c r="B2" s="36" t="s">
        <v>76</v>
      </c>
      <c r="C2" s="36"/>
      <c r="D2" s="36"/>
      <c r="E2" s="36" t="s">
        <v>98</v>
      </c>
      <c r="F2" s="36" t="s">
        <v>66</v>
      </c>
      <c r="G2" s="36" t="s">
        <v>32</v>
      </c>
      <c r="H2" s="36" t="s">
        <v>29</v>
      </c>
      <c r="I2" s="36"/>
      <c r="J2" s="36"/>
      <c r="K2" s="36" t="s">
        <v>30</v>
      </c>
      <c r="L2" s="36"/>
      <c r="M2" s="36" t="s">
        <v>421</v>
      </c>
      <c r="N2" s="36" t="s">
        <v>31</v>
      </c>
      <c r="O2" s="36">
        <v>1719</v>
      </c>
      <c r="P2" s="36">
        <v>1716</v>
      </c>
      <c r="Q2" s="36">
        <v>1425</v>
      </c>
      <c r="R2" s="36"/>
      <c r="S2" s="36">
        <v>2137</v>
      </c>
      <c r="T2" s="36">
        <v>1850</v>
      </c>
      <c r="U2" s="36">
        <v>4936</v>
      </c>
      <c r="V2" s="36">
        <v>640</v>
      </c>
      <c r="W2" s="36">
        <v>2716</v>
      </c>
      <c r="X2" s="36">
        <v>1260</v>
      </c>
      <c r="Y2" s="36"/>
      <c r="Z2" s="36"/>
      <c r="AA2" s="36" t="s">
        <v>363</v>
      </c>
      <c r="AB2" s="36">
        <v>2230</v>
      </c>
      <c r="AC2" s="36">
        <v>520</v>
      </c>
      <c r="AD2" s="36"/>
      <c r="AE2" s="36"/>
      <c r="AF2" s="36"/>
      <c r="AG2" s="36"/>
      <c r="AH2" s="36">
        <v>4</v>
      </c>
      <c r="AI2" s="36" t="s">
        <v>685</v>
      </c>
      <c r="AJ2" s="36" t="s">
        <v>419</v>
      </c>
      <c r="AK2" s="36" t="s">
        <v>416</v>
      </c>
      <c r="AL2" s="36" t="s">
        <v>706</v>
      </c>
      <c r="AM2" s="35" t="s">
        <v>420</v>
      </c>
      <c r="AN2" s="36"/>
      <c r="AO2" s="92" t="s">
        <v>786</v>
      </c>
      <c r="AP2" s="92" t="s">
        <v>788</v>
      </c>
      <c r="AQ2" s="92" t="s">
        <v>791</v>
      </c>
      <c r="AR2" s="36"/>
      <c r="AS2" s="36"/>
      <c r="AT2" s="36"/>
      <c r="AU2" s="36"/>
      <c r="AV2" s="36"/>
      <c r="AW2" s="36"/>
      <c r="AX2" s="36"/>
      <c r="AY2" s="36"/>
      <c r="AZ2" s="86"/>
      <c r="BA2" s="86"/>
      <c r="BB2" s="86"/>
      <c r="BC2" s="86"/>
      <c r="BD2" s="86"/>
      <c r="BE2" s="86"/>
      <c r="BF2" s="86"/>
      <c r="BG2" s="86"/>
      <c r="BH2" s="86"/>
      <c r="BI2" s="86"/>
      <c r="BJ2" s="86"/>
      <c r="BK2" s="86"/>
      <c r="BL2" s="86"/>
      <c r="BM2" s="86"/>
      <c r="BN2" s="87"/>
      <c r="BO2" s="87"/>
      <c r="BP2" s="87"/>
      <c r="BQ2" s="87"/>
      <c r="BR2" s="87"/>
      <c r="BS2" s="87"/>
      <c r="BT2" s="87"/>
      <c r="BU2" s="87"/>
      <c r="BV2" s="87"/>
      <c r="BW2" s="87"/>
      <c r="BX2" s="87"/>
      <c r="BY2" s="87"/>
      <c r="BZ2" s="87"/>
      <c r="CA2" s="87"/>
      <c r="CB2" s="87"/>
      <c r="CC2" s="87"/>
      <c r="CD2" s="87"/>
      <c r="CE2" s="87"/>
      <c r="CF2" s="87"/>
      <c r="CG2" s="87"/>
      <c r="CH2" s="87"/>
      <c r="CI2" s="87"/>
      <c r="CJ2" s="87"/>
      <c r="CK2" s="87"/>
      <c r="CL2" s="87"/>
      <c r="CM2" s="87"/>
      <c r="CN2" s="87"/>
      <c r="CO2" s="87"/>
      <c r="CP2" s="87"/>
      <c r="CQ2" s="87"/>
      <c r="CR2" s="87"/>
      <c r="CS2" s="87"/>
      <c r="CT2" s="87"/>
      <c r="CU2" s="87"/>
      <c r="CV2" s="87"/>
      <c r="CW2" s="87"/>
      <c r="CX2" s="87"/>
      <c r="CY2" s="87"/>
      <c r="CZ2" s="87"/>
      <c r="DA2" s="87"/>
      <c r="DB2" s="87"/>
      <c r="DC2" s="87"/>
      <c r="DD2" s="87"/>
      <c r="DE2" s="87"/>
      <c r="DF2" s="87"/>
      <c r="DG2" s="87"/>
      <c r="DH2" s="87"/>
      <c r="DI2" s="87"/>
      <c r="DJ2" s="87"/>
      <c r="DK2" s="87"/>
      <c r="DL2" s="87"/>
      <c r="DM2" s="87"/>
      <c r="DN2" s="87"/>
      <c r="DO2" s="87"/>
      <c r="DP2" s="87"/>
      <c r="DQ2" s="87"/>
      <c r="DR2" s="87"/>
      <c r="DS2" s="87"/>
      <c r="DT2" s="87"/>
      <c r="DU2" s="87"/>
      <c r="DV2" s="87"/>
      <c r="DW2" s="87"/>
      <c r="DX2" s="87"/>
      <c r="DY2" s="87"/>
      <c r="DZ2" s="87"/>
      <c r="EA2" s="87"/>
      <c r="EB2" s="87"/>
      <c r="EC2" s="87"/>
      <c r="ED2" s="87"/>
      <c r="EE2" s="87"/>
      <c r="EF2" s="87"/>
      <c r="EG2" s="87"/>
      <c r="EH2" s="87"/>
      <c r="EI2" s="87"/>
      <c r="EJ2" s="87"/>
      <c r="EK2" s="87"/>
      <c r="EL2" s="87"/>
      <c r="EM2" s="87"/>
      <c r="EN2" s="87"/>
      <c r="EO2" s="87"/>
      <c r="EP2" s="87"/>
      <c r="EQ2" s="87"/>
      <c r="ER2" s="87"/>
      <c r="ES2" s="87"/>
      <c r="ET2" s="87"/>
      <c r="EU2" s="87"/>
      <c r="EV2" s="87"/>
      <c r="EW2" s="87"/>
      <c r="EX2" s="87"/>
      <c r="EY2" s="87"/>
      <c r="EZ2" s="87"/>
      <c r="FA2" s="87"/>
      <c r="FB2" s="87"/>
      <c r="FC2" s="87"/>
      <c r="FD2" s="87"/>
      <c r="FE2" s="87"/>
      <c r="FF2" s="87"/>
      <c r="FG2" s="87"/>
      <c r="FH2" s="87"/>
      <c r="FI2" s="87"/>
      <c r="FJ2" s="87"/>
      <c r="FK2" s="87"/>
      <c r="FL2" s="87"/>
      <c r="FM2" s="87"/>
      <c r="FN2" s="87"/>
      <c r="FO2" s="87"/>
      <c r="FP2" s="87"/>
      <c r="FQ2" s="87"/>
      <c r="FR2" s="87"/>
    </row>
    <row r="3" spans="1:179" s="65" customFormat="1" ht="24.95" customHeight="1" x14ac:dyDescent="0.25">
      <c r="A3" s="36" t="s">
        <v>212</v>
      </c>
      <c r="B3" s="36" t="s">
        <v>76</v>
      </c>
      <c r="C3" s="36"/>
      <c r="D3" s="36"/>
      <c r="E3" s="36" t="s">
        <v>98</v>
      </c>
      <c r="F3" s="36" t="s">
        <v>66</v>
      </c>
      <c r="G3" s="36" t="s">
        <v>32</v>
      </c>
      <c r="H3" s="36" t="s">
        <v>29</v>
      </c>
      <c r="I3" s="36"/>
      <c r="J3" s="36"/>
      <c r="K3" s="36" t="s">
        <v>30</v>
      </c>
      <c r="L3" s="36"/>
      <c r="M3" s="36" t="s">
        <v>727</v>
      </c>
      <c r="N3" s="36" t="s">
        <v>31</v>
      </c>
      <c r="O3" s="36">
        <v>1719</v>
      </c>
      <c r="P3" s="36">
        <v>1716</v>
      </c>
      <c r="Q3" s="36">
        <v>1425</v>
      </c>
      <c r="R3" s="36"/>
      <c r="S3" s="36">
        <v>2137</v>
      </c>
      <c r="T3" s="36">
        <v>1850</v>
      </c>
      <c r="U3" s="36">
        <v>4936</v>
      </c>
      <c r="V3" s="36">
        <v>640</v>
      </c>
      <c r="W3" s="36">
        <v>2716</v>
      </c>
      <c r="X3" s="36">
        <v>1260</v>
      </c>
      <c r="Y3" s="36"/>
      <c r="Z3" s="36"/>
      <c r="AA3" s="36" t="s">
        <v>363</v>
      </c>
      <c r="AB3" s="36">
        <v>2230</v>
      </c>
      <c r="AC3" s="36">
        <v>520</v>
      </c>
      <c r="AD3" s="36"/>
      <c r="AE3" s="36"/>
      <c r="AF3" s="36"/>
      <c r="AG3" s="36"/>
      <c r="AH3" s="36">
        <v>4</v>
      </c>
      <c r="AI3" s="36" t="s">
        <v>728</v>
      </c>
      <c r="AJ3" s="36" t="s">
        <v>729</v>
      </c>
      <c r="AK3" s="36" t="s">
        <v>730</v>
      </c>
      <c r="AL3" s="36" t="s">
        <v>731</v>
      </c>
      <c r="AM3" s="35" t="s">
        <v>752</v>
      </c>
      <c r="AN3" s="36"/>
      <c r="AO3" s="85"/>
      <c r="AP3" s="85"/>
      <c r="AQ3" s="85"/>
      <c r="AR3" s="36"/>
      <c r="AS3" s="36"/>
      <c r="AT3" s="36"/>
      <c r="AU3" s="36"/>
      <c r="AV3" s="36"/>
      <c r="AW3" s="36"/>
      <c r="AX3" s="36"/>
      <c r="AY3" s="36"/>
      <c r="AZ3" s="86"/>
      <c r="BA3" s="86"/>
      <c r="BB3" s="86"/>
      <c r="BC3" s="86"/>
      <c r="BD3" s="86"/>
      <c r="BE3" s="86"/>
      <c r="BF3" s="86"/>
      <c r="BG3" s="86"/>
      <c r="BH3" s="86"/>
      <c r="BI3" s="86"/>
      <c r="BJ3" s="86"/>
      <c r="BK3" s="86"/>
      <c r="BL3" s="86"/>
      <c r="BM3" s="86"/>
      <c r="BN3" s="87"/>
      <c r="BO3" s="87"/>
      <c r="BP3" s="87"/>
      <c r="BQ3" s="87"/>
      <c r="BR3" s="87"/>
      <c r="BS3" s="87"/>
      <c r="BT3" s="87"/>
      <c r="BU3" s="87"/>
      <c r="BV3" s="87"/>
      <c r="BW3" s="87"/>
      <c r="BX3" s="87"/>
      <c r="BY3" s="87"/>
      <c r="BZ3" s="87"/>
      <c r="CA3" s="87"/>
      <c r="CB3" s="87"/>
      <c r="CC3" s="87"/>
      <c r="CD3" s="87"/>
      <c r="CE3" s="87"/>
      <c r="CF3" s="87"/>
      <c r="CG3" s="87"/>
      <c r="CH3" s="87"/>
      <c r="CI3" s="87"/>
      <c r="CJ3" s="87"/>
      <c r="CK3" s="87"/>
      <c r="CL3" s="87"/>
      <c r="CM3" s="87"/>
      <c r="CN3" s="87"/>
      <c r="CO3" s="87"/>
      <c r="CP3" s="87"/>
      <c r="CQ3" s="87"/>
      <c r="CR3" s="87"/>
      <c r="CS3" s="87"/>
      <c r="CT3" s="87"/>
      <c r="CU3" s="87"/>
      <c r="CV3" s="87"/>
      <c r="CW3" s="87"/>
      <c r="CX3" s="87"/>
      <c r="CY3" s="87"/>
      <c r="CZ3" s="87"/>
      <c r="DA3" s="87"/>
      <c r="DB3" s="87"/>
      <c r="DC3" s="87"/>
      <c r="DD3" s="87"/>
      <c r="DE3" s="87"/>
      <c r="DF3" s="87"/>
      <c r="DG3" s="87"/>
      <c r="DH3" s="87"/>
      <c r="DI3" s="87"/>
      <c r="DJ3" s="87"/>
      <c r="DK3" s="87"/>
      <c r="DL3" s="87"/>
      <c r="DM3" s="87"/>
      <c r="DN3" s="87"/>
      <c r="DO3" s="87"/>
      <c r="DP3" s="87"/>
      <c r="DQ3" s="87"/>
      <c r="DR3" s="87"/>
      <c r="DS3" s="87"/>
      <c r="DT3" s="87"/>
      <c r="DU3" s="87"/>
      <c r="DV3" s="87"/>
      <c r="DW3" s="87"/>
      <c r="DX3" s="87"/>
      <c r="DY3" s="87"/>
      <c r="DZ3" s="87"/>
      <c r="EA3" s="87"/>
      <c r="EB3" s="87"/>
      <c r="EC3" s="87"/>
      <c r="ED3" s="87"/>
      <c r="EE3" s="87"/>
      <c r="EF3" s="87"/>
      <c r="EG3" s="87"/>
      <c r="EH3" s="87"/>
      <c r="EI3" s="87"/>
      <c r="EJ3" s="87"/>
      <c r="EK3" s="87"/>
      <c r="EL3" s="87"/>
      <c r="EM3" s="87"/>
      <c r="EN3" s="87"/>
      <c r="EO3" s="87"/>
      <c r="EP3" s="87"/>
      <c r="EQ3" s="87"/>
      <c r="ER3" s="87"/>
      <c r="ES3" s="87"/>
      <c r="ET3" s="87"/>
      <c r="EU3" s="87"/>
      <c r="EV3" s="87"/>
      <c r="EW3" s="87"/>
      <c r="EX3" s="87"/>
      <c r="EY3" s="87"/>
      <c r="EZ3" s="87"/>
      <c r="FA3" s="87"/>
      <c r="FB3" s="87"/>
      <c r="FC3" s="87"/>
      <c r="FD3" s="87"/>
      <c r="FE3" s="87"/>
      <c r="FF3" s="87"/>
      <c r="FG3" s="87"/>
      <c r="FH3" s="87"/>
      <c r="FI3" s="87"/>
      <c r="FJ3" s="87"/>
      <c r="FK3" s="87"/>
      <c r="FL3" s="87"/>
      <c r="FM3" s="87"/>
      <c r="FN3" s="87"/>
      <c r="FO3" s="87"/>
      <c r="FP3" s="87"/>
      <c r="FQ3" s="87"/>
      <c r="FR3" s="87"/>
    </row>
    <row r="4" spans="1:179" s="65" customFormat="1" ht="24.95" customHeight="1" x14ac:dyDescent="0.25">
      <c r="A4" s="36" t="s">
        <v>212</v>
      </c>
      <c r="B4" s="36" t="s">
        <v>75</v>
      </c>
      <c r="C4" s="36"/>
      <c r="D4" s="36"/>
      <c r="E4" s="36" t="s">
        <v>98</v>
      </c>
      <c r="F4" s="36" t="s">
        <v>66</v>
      </c>
      <c r="G4" s="36" t="s">
        <v>32</v>
      </c>
      <c r="H4" s="36" t="s">
        <v>29</v>
      </c>
      <c r="I4" s="36"/>
      <c r="J4" s="36"/>
      <c r="K4" s="36" t="s">
        <v>30</v>
      </c>
      <c r="L4" s="36"/>
      <c r="M4" s="36" t="s">
        <v>417</v>
      </c>
      <c r="N4" s="36" t="s">
        <v>31</v>
      </c>
      <c r="O4" s="36">
        <v>1719</v>
      </c>
      <c r="P4" s="36">
        <v>1716</v>
      </c>
      <c r="Q4" s="36">
        <v>1425</v>
      </c>
      <c r="R4" s="36"/>
      <c r="S4" s="36">
        <v>2137</v>
      </c>
      <c r="T4" s="36">
        <v>1850</v>
      </c>
      <c r="U4" s="36">
        <v>4936</v>
      </c>
      <c r="V4" s="36">
        <v>640</v>
      </c>
      <c r="W4" s="36">
        <v>2716</v>
      </c>
      <c r="X4" s="36">
        <v>1260</v>
      </c>
      <c r="Y4" s="36"/>
      <c r="Z4" s="36"/>
      <c r="AA4" s="36" t="s">
        <v>363</v>
      </c>
      <c r="AB4" s="36">
        <v>2230</v>
      </c>
      <c r="AC4" s="36">
        <v>520</v>
      </c>
      <c r="AD4" s="36"/>
      <c r="AE4" s="36"/>
      <c r="AF4" s="36"/>
      <c r="AG4" s="36"/>
      <c r="AH4" s="36">
        <v>4</v>
      </c>
      <c r="AI4" s="36" t="s">
        <v>685</v>
      </c>
      <c r="AJ4" s="36" t="s">
        <v>419</v>
      </c>
      <c r="AK4" s="36" t="s">
        <v>416</v>
      </c>
      <c r="AL4" s="36" t="s">
        <v>706</v>
      </c>
      <c r="AM4" s="35" t="s">
        <v>420</v>
      </c>
      <c r="AN4" s="36"/>
      <c r="AO4" s="92" t="s">
        <v>786</v>
      </c>
      <c r="AP4" s="92" t="s">
        <v>789</v>
      </c>
      <c r="AQ4" s="92" t="s">
        <v>791</v>
      </c>
      <c r="AR4" s="36"/>
      <c r="AS4" s="36"/>
      <c r="AT4" s="36"/>
      <c r="AU4" s="36"/>
      <c r="AV4" s="36"/>
      <c r="AW4" s="36"/>
      <c r="AX4" s="36"/>
      <c r="AY4" s="36"/>
      <c r="AZ4" s="86"/>
      <c r="BA4" s="86"/>
      <c r="BB4" s="86"/>
      <c r="BC4" s="86"/>
      <c r="BD4" s="86"/>
      <c r="BE4" s="86"/>
      <c r="BF4" s="86"/>
      <c r="BG4" s="86"/>
      <c r="BH4" s="86"/>
      <c r="BI4" s="86"/>
      <c r="BJ4" s="86"/>
      <c r="BK4" s="86"/>
      <c r="BL4" s="86"/>
      <c r="BM4" s="86"/>
      <c r="BN4" s="87"/>
      <c r="BO4" s="87"/>
      <c r="BP4" s="87"/>
      <c r="BQ4" s="87"/>
      <c r="BR4" s="87"/>
      <c r="BS4" s="87"/>
      <c r="BT4" s="87"/>
      <c r="BU4" s="87"/>
      <c r="BV4" s="87"/>
      <c r="BW4" s="87"/>
      <c r="BX4" s="87"/>
      <c r="BY4" s="87"/>
      <c r="BZ4" s="87"/>
      <c r="CA4" s="87"/>
      <c r="CB4" s="87"/>
      <c r="CC4" s="87"/>
      <c r="CD4" s="87"/>
      <c r="CE4" s="87"/>
      <c r="CF4" s="87"/>
      <c r="CG4" s="87"/>
      <c r="CH4" s="87"/>
      <c r="CI4" s="87"/>
      <c r="CJ4" s="87"/>
      <c r="CK4" s="87"/>
      <c r="CL4" s="87"/>
      <c r="CM4" s="87"/>
      <c r="CN4" s="87"/>
      <c r="CO4" s="87"/>
      <c r="CP4" s="87"/>
      <c r="CQ4" s="87"/>
      <c r="CR4" s="87"/>
      <c r="CS4" s="87"/>
      <c r="CT4" s="87"/>
      <c r="CU4" s="87"/>
      <c r="CV4" s="87"/>
      <c r="CW4" s="87"/>
      <c r="CX4" s="87"/>
      <c r="CY4" s="87"/>
      <c r="CZ4" s="87"/>
      <c r="DA4" s="87"/>
      <c r="DB4" s="87"/>
      <c r="DC4" s="87"/>
      <c r="DD4" s="87"/>
      <c r="DE4" s="87"/>
      <c r="DF4" s="87"/>
      <c r="DG4" s="87"/>
      <c r="DH4" s="87"/>
      <c r="DI4" s="87"/>
      <c r="DJ4" s="87"/>
      <c r="DK4" s="87"/>
      <c r="DL4" s="87"/>
      <c r="DM4" s="87"/>
      <c r="DN4" s="87"/>
      <c r="DO4" s="87"/>
      <c r="DP4" s="87"/>
      <c r="DQ4" s="87"/>
      <c r="DR4" s="87"/>
      <c r="DS4" s="87"/>
      <c r="DT4" s="87"/>
      <c r="DU4" s="87"/>
      <c r="DV4" s="87"/>
      <c r="DW4" s="87"/>
      <c r="DX4" s="87"/>
      <c r="DY4" s="87"/>
      <c r="DZ4" s="87"/>
      <c r="EA4" s="87"/>
      <c r="EB4" s="87"/>
      <c r="EC4" s="87"/>
      <c r="ED4" s="87"/>
      <c r="EE4" s="87"/>
      <c r="EF4" s="87"/>
      <c r="EG4" s="87"/>
      <c r="EH4" s="87"/>
      <c r="EI4" s="87"/>
      <c r="EJ4" s="87"/>
      <c r="EK4" s="87"/>
      <c r="EL4" s="87"/>
      <c r="EM4" s="87"/>
      <c r="EN4" s="87"/>
      <c r="EO4" s="87"/>
      <c r="EP4" s="87"/>
      <c r="EQ4" s="87"/>
      <c r="ER4" s="87"/>
      <c r="ES4" s="87"/>
      <c r="ET4" s="87"/>
      <c r="EU4" s="87"/>
      <c r="EV4" s="87"/>
      <c r="EW4" s="87"/>
      <c r="EX4" s="87"/>
      <c r="EY4" s="87"/>
      <c r="EZ4" s="87"/>
      <c r="FA4" s="87"/>
      <c r="FB4" s="87"/>
      <c r="FC4" s="87"/>
      <c r="FD4" s="87"/>
      <c r="FE4" s="87"/>
      <c r="FF4" s="87"/>
      <c r="FG4" s="87"/>
      <c r="FH4" s="87"/>
      <c r="FI4" s="87"/>
      <c r="FJ4" s="87"/>
      <c r="FK4" s="87"/>
      <c r="FL4" s="87"/>
      <c r="FM4" s="87"/>
      <c r="FN4" s="87"/>
      <c r="FO4" s="87"/>
      <c r="FP4" s="87"/>
      <c r="FQ4" s="87"/>
      <c r="FR4" s="87"/>
    </row>
    <row r="5" spans="1:179" s="65" customFormat="1" ht="24.95" customHeight="1" x14ac:dyDescent="0.25">
      <c r="A5" s="36" t="s">
        <v>212</v>
      </c>
      <c r="B5" s="36" t="s">
        <v>75</v>
      </c>
      <c r="C5" s="36"/>
      <c r="D5" s="36"/>
      <c r="E5" s="36" t="s">
        <v>98</v>
      </c>
      <c r="F5" s="36" t="s">
        <v>66</v>
      </c>
      <c r="G5" s="36" t="s">
        <v>32</v>
      </c>
      <c r="H5" s="36" t="s">
        <v>29</v>
      </c>
      <c r="I5" s="36"/>
      <c r="J5" s="36"/>
      <c r="K5" s="36" t="s">
        <v>30</v>
      </c>
      <c r="L5" s="36"/>
      <c r="M5" s="36" t="s">
        <v>732</v>
      </c>
      <c r="N5" s="36" t="s">
        <v>31</v>
      </c>
      <c r="O5" s="36">
        <v>1719</v>
      </c>
      <c r="P5" s="36">
        <v>1716</v>
      </c>
      <c r="Q5" s="36">
        <v>1425</v>
      </c>
      <c r="R5" s="36"/>
      <c r="S5" s="36">
        <v>2137</v>
      </c>
      <c r="T5" s="36">
        <v>1850</v>
      </c>
      <c r="U5" s="36">
        <v>4936</v>
      </c>
      <c r="V5" s="36">
        <v>640</v>
      </c>
      <c r="W5" s="36">
        <v>2716</v>
      </c>
      <c r="X5" s="36">
        <v>1260</v>
      </c>
      <c r="Y5" s="36"/>
      <c r="Z5" s="36"/>
      <c r="AA5" s="36" t="s">
        <v>363</v>
      </c>
      <c r="AB5" s="36">
        <v>2230</v>
      </c>
      <c r="AC5" s="36">
        <v>520</v>
      </c>
      <c r="AD5" s="36"/>
      <c r="AE5" s="36"/>
      <c r="AF5" s="36"/>
      <c r="AG5" s="36"/>
      <c r="AH5" s="36">
        <v>4</v>
      </c>
      <c r="AI5" s="36" t="s">
        <v>733</v>
      </c>
      <c r="AJ5" s="36" t="s">
        <v>734</v>
      </c>
      <c r="AK5" s="36"/>
      <c r="AL5" s="36" t="s">
        <v>735</v>
      </c>
      <c r="AM5" s="35"/>
      <c r="AN5" s="36"/>
      <c r="AO5" s="85"/>
      <c r="AP5" s="85"/>
      <c r="AQ5" s="85"/>
      <c r="AR5" s="36"/>
      <c r="AS5" s="36"/>
      <c r="AT5" s="36"/>
      <c r="AU5" s="36"/>
      <c r="AV5" s="36"/>
      <c r="AW5" s="36"/>
      <c r="AX5" s="36"/>
      <c r="AY5" s="36"/>
      <c r="AZ5" s="86"/>
      <c r="BA5" s="86"/>
      <c r="BB5" s="86"/>
      <c r="BC5" s="86"/>
      <c r="BD5" s="86"/>
      <c r="BE5" s="86"/>
      <c r="BF5" s="86"/>
      <c r="BG5" s="86"/>
      <c r="BH5" s="86"/>
      <c r="BI5" s="86"/>
      <c r="BJ5" s="86"/>
      <c r="BK5" s="86"/>
      <c r="BL5" s="86"/>
      <c r="BM5" s="86"/>
      <c r="BN5" s="87"/>
      <c r="BO5" s="87"/>
      <c r="BP5" s="87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87"/>
      <c r="CD5" s="87"/>
      <c r="CE5" s="87"/>
      <c r="CF5" s="87"/>
      <c r="CG5" s="87"/>
      <c r="CH5" s="87"/>
      <c r="CI5" s="87"/>
      <c r="CJ5" s="87"/>
      <c r="CK5" s="87"/>
      <c r="CL5" s="87"/>
      <c r="CM5" s="87"/>
      <c r="CN5" s="87"/>
      <c r="CO5" s="87"/>
      <c r="CP5" s="87"/>
      <c r="CQ5" s="87"/>
      <c r="CR5" s="87"/>
      <c r="CS5" s="87"/>
      <c r="CT5" s="87"/>
      <c r="CU5" s="87"/>
      <c r="CV5" s="87"/>
      <c r="CW5" s="87"/>
      <c r="CX5" s="87"/>
      <c r="CY5" s="87"/>
      <c r="CZ5" s="87"/>
      <c r="DA5" s="87"/>
      <c r="DB5" s="87"/>
      <c r="DC5" s="87"/>
      <c r="DD5" s="87"/>
      <c r="DE5" s="87"/>
      <c r="DF5" s="87"/>
      <c r="DG5" s="87"/>
      <c r="DH5" s="87"/>
      <c r="DI5" s="87"/>
      <c r="DJ5" s="87"/>
      <c r="DK5" s="87"/>
      <c r="DL5" s="87"/>
      <c r="DM5" s="87"/>
      <c r="DN5" s="87"/>
      <c r="DO5" s="87"/>
      <c r="DP5" s="87"/>
      <c r="DQ5" s="87"/>
      <c r="DR5" s="87"/>
      <c r="DS5" s="87"/>
      <c r="DT5" s="87"/>
      <c r="DU5" s="87"/>
      <c r="DV5" s="87"/>
      <c r="DW5" s="87"/>
      <c r="DX5" s="87"/>
      <c r="DY5" s="87"/>
      <c r="DZ5" s="87"/>
      <c r="EA5" s="87"/>
      <c r="EB5" s="87"/>
      <c r="EC5" s="87"/>
      <c r="ED5" s="87"/>
      <c r="EE5" s="87"/>
      <c r="EF5" s="87"/>
      <c r="EG5" s="87"/>
      <c r="EH5" s="87"/>
      <c r="EI5" s="87"/>
      <c r="EJ5" s="87"/>
      <c r="EK5" s="87"/>
      <c r="EL5" s="87"/>
      <c r="EM5" s="87"/>
      <c r="EN5" s="87"/>
      <c r="EO5" s="87"/>
      <c r="EP5" s="87"/>
      <c r="EQ5" s="87"/>
      <c r="ER5" s="87"/>
      <c r="ES5" s="87"/>
      <c r="ET5" s="87"/>
      <c r="EU5" s="87"/>
      <c r="EV5" s="87"/>
      <c r="EW5" s="87"/>
      <c r="EX5" s="87"/>
      <c r="EY5" s="87"/>
      <c r="EZ5" s="87"/>
      <c r="FA5" s="87"/>
      <c r="FB5" s="87"/>
      <c r="FC5" s="87"/>
      <c r="FD5" s="87"/>
      <c r="FE5" s="87"/>
      <c r="FF5" s="87"/>
      <c r="FG5" s="87"/>
      <c r="FH5" s="87"/>
      <c r="FI5" s="87"/>
      <c r="FJ5" s="87"/>
      <c r="FK5" s="87"/>
      <c r="FL5" s="87"/>
      <c r="FM5" s="87"/>
      <c r="FN5" s="87"/>
      <c r="FO5" s="87"/>
      <c r="FP5" s="87"/>
      <c r="FQ5" s="87"/>
      <c r="FR5" s="87"/>
    </row>
    <row r="6" spans="1:179" s="65" customFormat="1" ht="24.95" customHeight="1" x14ac:dyDescent="0.25">
      <c r="A6" s="36" t="s">
        <v>212</v>
      </c>
      <c r="B6" s="36" t="s">
        <v>744</v>
      </c>
      <c r="C6" s="36"/>
      <c r="D6" s="36"/>
      <c r="E6" s="36" t="s">
        <v>98</v>
      </c>
      <c r="F6" s="36" t="s">
        <v>66</v>
      </c>
      <c r="G6" s="36" t="s">
        <v>32</v>
      </c>
      <c r="H6" s="36" t="s">
        <v>29</v>
      </c>
      <c r="I6" s="36"/>
      <c r="J6" s="36"/>
      <c r="K6" s="36" t="s">
        <v>30</v>
      </c>
      <c r="L6" s="36"/>
      <c r="M6" s="36" t="s">
        <v>422</v>
      </c>
      <c r="N6" s="36" t="s">
        <v>31</v>
      </c>
      <c r="O6" s="36">
        <v>1719</v>
      </c>
      <c r="P6" s="36">
        <v>1716</v>
      </c>
      <c r="Q6" s="36">
        <v>1425</v>
      </c>
      <c r="R6" s="36"/>
      <c r="S6" s="36">
        <v>2137</v>
      </c>
      <c r="T6" s="36">
        <v>1850</v>
      </c>
      <c r="U6" s="36">
        <v>4936</v>
      </c>
      <c r="V6" s="36">
        <v>640</v>
      </c>
      <c r="W6" s="36">
        <v>2716</v>
      </c>
      <c r="X6" s="36">
        <v>1260</v>
      </c>
      <c r="Y6" s="36"/>
      <c r="Z6" s="36"/>
      <c r="AA6" s="36" t="s">
        <v>363</v>
      </c>
      <c r="AB6" s="36">
        <v>2230</v>
      </c>
      <c r="AC6" s="36">
        <v>510</v>
      </c>
      <c r="AD6" s="36"/>
      <c r="AE6" s="36"/>
      <c r="AF6" s="36"/>
      <c r="AG6" s="36"/>
      <c r="AH6" s="36">
        <v>4</v>
      </c>
      <c r="AI6" s="36" t="s">
        <v>685</v>
      </c>
      <c r="AJ6" s="36" t="s">
        <v>419</v>
      </c>
      <c r="AK6" s="36" t="s">
        <v>699</v>
      </c>
      <c r="AL6" s="36" t="s">
        <v>707</v>
      </c>
      <c r="AM6" s="35" t="s">
        <v>420</v>
      </c>
      <c r="AN6" s="36"/>
      <c r="AO6" s="92" t="s">
        <v>786</v>
      </c>
      <c r="AP6" s="92" t="s">
        <v>790</v>
      </c>
      <c r="AQ6" s="92" t="s">
        <v>791</v>
      </c>
      <c r="AR6" s="36"/>
      <c r="AS6" s="36"/>
      <c r="AT6" s="36"/>
      <c r="AU6" s="36"/>
      <c r="AV6" s="36"/>
      <c r="AW6" s="36"/>
      <c r="AX6" s="36"/>
      <c r="AY6" s="36"/>
      <c r="AZ6" s="86"/>
      <c r="BA6" s="86"/>
      <c r="BB6" s="86"/>
      <c r="BC6" s="86"/>
      <c r="BD6" s="86"/>
      <c r="BE6" s="86"/>
      <c r="BF6" s="86"/>
      <c r="BG6" s="86"/>
      <c r="BH6" s="86"/>
      <c r="BI6" s="86"/>
      <c r="BJ6" s="86"/>
      <c r="BK6" s="86"/>
      <c r="BL6" s="86"/>
      <c r="BM6" s="86"/>
      <c r="BN6" s="87"/>
      <c r="BO6" s="87"/>
      <c r="BP6" s="87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87"/>
      <c r="CD6" s="87"/>
      <c r="CE6" s="87"/>
      <c r="CF6" s="87"/>
      <c r="CG6" s="87"/>
      <c r="CH6" s="87"/>
      <c r="CI6" s="87"/>
      <c r="CJ6" s="87"/>
      <c r="CK6" s="87"/>
      <c r="CL6" s="87"/>
      <c r="CM6" s="87"/>
      <c r="CN6" s="87"/>
      <c r="CO6" s="87"/>
      <c r="CP6" s="87"/>
      <c r="CQ6" s="87"/>
      <c r="CR6" s="87"/>
      <c r="CS6" s="87"/>
      <c r="CT6" s="87"/>
      <c r="CU6" s="87"/>
      <c r="CV6" s="87"/>
      <c r="CW6" s="87"/>
      <c r="CX6" s="87"/>
      <c r="CY6" s="87"/>
      <c r="CZ6" s="87"/>
      <c r="DA6" s="87"/>
      <c r="DB6" s="87"/>
      <c r="DC6" s="87"/>
      <c r="DD6" s="87"/>
      <c r="DE6" s="87"/>
      <c r="DF6" s="87"/>
      <c r="DG6" s="87"/>
      <c r="DH6" s="87"/>
      <c r="DI6" s="87"/>
      <c r="DJ6" s="87"/>
      <c r="DK6" s="87"/>
      <c r="DL6" s="87"/>
      <c r="DM6" s="87"/>
      <c r="DN6" s="87"/>
      <c r="DO6" s="87"/>
      <c r="DP6" s="87"/>
      <c r="DQ6" s="87"/>
      <c r="DR6" s="87"/>
      <c r="DS6" s="87"/>
      <c r="DT6" s="87"/>
      <c r="DU6" s="87"/>
      <c r="DV6" s="87"/>
      <c r="DW6" s="87"/>
      <c r="DX6" s="87"/>
      <c r="DY6" s="87"/>
      <c r="DZ6" s="87"/>
      <c r="EA6" s="87"/>
      <c r="EB6" s="87"/>
      <c r="EC6" s="87"/>
      <c r="ED6" s="87"/>
      <c r="EE6" s="87"/>
      <c r="EF6" s="87"/>
      <c r="EG6" s="87"/>
      <c r="EH6" s="87"/>
      <c r="EI6" s="87"/>
      <c r="EJ6" s="87"/>
      <c r="EK6" s="87"/>
      <c r="EL6" s="87"/>
      <c r="EM6" s="87"/>
      <c r="EN6" s="87"/>
      <c r="EO6" s="87"/>
      <c r="EP6" s="87"/>
      <c r="EQ6" s="87"/>
      <c r="ER6" s="87"/>
      <c r="ES6" s="87"/>
      <c r="ET6" s="87"/>
      <c r="EU6" s="87"/>
      <c r="EV6" s="87"/>
      <c r="EW6" s="87"/>
      <c r="EX6" s="87"/>
      <c r="EY6" s="87"/>
      <c r="EZ6" s="87"/>
      <c r="FA6" s="87"/>
      <c r="FB6" s="87"/>
      <c r="FC6" s="87"/>
      <c r="FD6" s="87"/>
      <c r="FE6" s="87"/>
      <c r="FF6" s="87"/>
      <c r="FG6" s="87"/>
      <c r="FH6" s="87"/>
      <c r="FI6" s="87"/>
      <c r="FJ6" s="87"/>
      <c r="FK6" s="87"/>
      <c r="FL6" s="87"/>
      <c r="FM6" s="87"/>
      <c r="FN6" s="87"/>
      <c r="FO6" s="87"/>
      <c r="FP6" s="87"/>
      <c r="FQ6" s="87"/>
      <c r="FR6" s="87"/>
    </row>
    <row r="7" spans="1:179" s="65" customFormat="1" ht="24.95" customHeight="1" x14ac:dyDescent="0.25">
      <c r="A7" s="36" t="s">
        <v>212</v>
      </c>
      <c r="B7" s="36" t="s">
        <v>744</v>
      </c>
      <c r="C7" s="36"/>
      <c r="D7" s="36"/>
      <c r="E7" s="36" t="s">
        <v>98</v>
      </c>
      <c r="F7" s="36" t="s">
        <v>66</v>
      </c>
      <c r="G7" s="36" t="s">
        <v>32</v>
      </c>
      <c r="H7" s="36" t="s">
        <v>29</v>
      </c>
      <c r="I7" s="36"/>
      <c r="J7" s="36"/>
      <c r="K7" s="36" t="s">
        <v>30</v>
      </c>
      <c r="L7" s="36"/>
      <c r="M7" s="36" t="s">
        <v>736</v>
      </c>
      <c r="N7" s="36" t="s">
        <v>31</v>
      </c>
      <c r="O7" s="36">
        <v>1719</v>
      </c>
      <c r="P7" s="36">
        <v>1716</v>
      </c>
      <c r="Q7" s="36">
        <v>1425</v>
      </c>
      <c r="R7" s="36"/>
      <c r="S7" s="36">
        <v>2137</v>
      </c>
      <c r="T7" s="36">
        <v>1850</v>
      </c>
      <c r="U7" s="36">
        <v>4936</v>
      </c>
      <c r="V7" s="36">
        <v>640</v>
      </c>
      <c r="W7" s="36">
        <v>2716</v>
      </c>
      <c r="X7" s="36">
        <v>1260</v>
      </c>
      <c r="Y7" s="36"/>
      <c r="Z7" s="36"/>
      <c r="AA7" s="36" t="s">
        <v>363</v>
      </c>
      <c r="AB7" s="36">
        <v>2230</v>
      </c>
      <c r="AC7" s="36">
        <v>510</v>
      </c>
      <c r="AD7" s="36"/>
      <c r="AE7" s="36"/>
      <c r="AF7" s="36"/>
      <c r="AG7" s="36"/>
      <c r="AH7" s="36">
        <v>4</v>
      </c>
      <c r="AI7" s="36" t="s">
        <v>737</v>
      </c>
      <c r="AJ7" s="36" t="s">
        <v>738</v>
      </c>
      <c r="AK7" s="36" t="s">
        <v>739</v>
      </c>
      <c r="AL7" s="36" t="s">
        <v>740</v>
      </c>
      <c r="AM7" s="35" t="s">
        <v>768</v>
      </c>
      <c r="AN7" s="36"/>
      <c r="AO7" s="85"/>
      <c r="AP7" s="85"/>
      <c r="AQ7" s="85"/>
      <c r="AR7" s="36"/>
      <c r="AS7" s="36"/>
      <c r="AT7" s="36"/>
      <c r="AU7" s="36"/>
      <c r="AV7" s="36"/>
      <c r="AW7" s="36"/>
      <c r="AX7" s="36"/>
      <c r="AY7" s="36"/>
      <c r="AZ7" s="86"/>
      <c r="BA7" s="86"/>
      <c r="BB7" s="86"/>
      <c r="BC7" s="86"/>
      <c r="BD7" s="86"/>
      <c r="BE7" s="86"/>
      <c r="BF7" s="86"/>
      <c r="BG7" s="86"/>
      <c r="BH7" s="86"/>
      <c r="BI7" s="86"/>
      <c r="BJ7" s="86"/>
      <c r="BK7" s="86"/>
      <c r="BL7" s="86"/>
      <c r="BM7" s="86"/>
      <c r="BN7" s="87"/>
      <c r="BO7" s="87"/>
      <c r="BP7" s="87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87"/>
      <c r="CD7" s="87"/>
      <c r="CE7" s="87"/>
      <c r="CF7" s="87"/>
      <c r="CG7" s="87"/>
      <c r="CH7" s="87"/>
      <c r="CI7" s="87"/>
      <c r="CJ7" s="87"/>
      <c r="CK7" s="87"/>
      <c r="CL7" s="87"/>
      <c r="CM7" s="87"/>
      <c r="CN7" s="87"/>
      <c r="CO7" s="87"/>
      <c r="CP7" s="87"/>
      <c r="CQ7" s="87"/>
      <c r="CR7" s="87"/>
      <c r="CS7" s="87"/>
      <c r="CT7" s="87"/>
      <c r="CU7" s="87"/>
      <c r="CV7" s="87"/>
      <c r="CW7" s="87"/>
      <c r="CX7" s="87"/>
      <c r="CY7" s="87"/>
      <c r="CZ7" s="87"/>
      <c r="DA7" s="87"/>
      <c r="DB7" s="87"/>
      <c r="DC7" s="87"/>
      <c r="DD7" s="87"/>
      <c r="DE7" s="87"/>
      <c r="DF7" s="87"/>
      <c r="DG7" s="87"/>
      <c r="DH7" s="87"/>
      <c r="DI7" s="87"/>
      <c r="DJ7" s="87"/>
      <c r="DK7" s="87"/>
      <c r="DL7" s="87"/>
      <c r="DM7" s="87"/>
      <c r="DN7" s="87"/>
      <c r="DO7" s="87"/>
      <c r="DP7" s="87"/>
      <c r="DQ7" s="87"/>
      <c r="DR7" s="87"/>
      <c r="DS7" s="87"/>
      <c r="DT7" s="87"/>
      <c r="DU7" s="87"/>
      <c r="DV7" s="87"/>
      <c r="DW7" s="87"/>
      <c r="DX7" s="87"/>
      <c r="DY7" s="87"/>
      <c r="DZ7" s="87"/>
      <c r="EA7" s="87"/>
      <c r="EB7" s="87"/>
      <c r="EC7" s="87"/>
      <c r="ED7" s="87"/>
      <c r="EE7" s="87"/>
      <c r="EF7" s="87"/>
      <c r="EG7" s="87"/>
      <c r="EH7" s="87"/>
      <c r="EI7" s="87"/>
      <c r="EJ7" s="87"/>
      <c r="EK7" s="87"/>
      <c r="EL7" s="87"/>
      <c r="EM7" s="87"/>
      <c r="EN7" s="87"/>
      <c r="EO7" s="87"/>
      <c r="EP7" s="87"/>
      <c r="EQ7" s="87"/>
      <c r="ER7" s="87"/>
      <c r="ES7" s="87"/>
      <c r="ET7" s="87"/>
      <c r="EU7" s="87"/>
      <c r="EV7" s="87"/>
      <c r="EW7" s="87"/>
      <c r="EX7" s="87"/>
      <c r="EY7" s="87"/>
      <c r="EZ7" s="87"/>
      <c r="FA7" s="87"/>
      <c r="FB7" s="87"/>
      <c r="FC7" s="87"/>
      <c r="FD7" s="87"/>
      <c r="FE7" s="87"/>
      <c r="FF7" s="87"/>
      <c r="FG7" s="87"/>
      <c r="FH7" s="87"/>
      <c r="FI7" s="87"/>
      <c r="FJ7" s="87"/>
      <c r="FK7" s="87"/>
      <c r="FL7" s="87"/>
      <c r="FM7" s="87"/>
      <c r="FN7" s="87"/>
      <c r="FO7" s="87"/>
      <c r="FP7" s="87"/>
      <c r="FQ7" s="87"/>
      <c r="FR7" s="87"/>
    </row>
    <row r="8" spans="1:179" s="65" customFormat="1" ht="24.95" customHeight="1" x14ac:dyDescent="0.25">
      <c r="A8" s="35" t="s">
        <v>212</v>
      </c>
      <c r="B8" s="36" t="s">
        <v>76</v>
      </c>
      <c r="C8" s="36"/>
      <c r="D8" s="35"/>
      <c r="E8" s="35" t="s">
        <v>34</v>
      </c>
      <c r="F8" s="35" t="s">
        <v>35</v>
      </c>
      <c r="G8" s="35" t="s">
        <v>89</v>
      </c>
      <c r="H8" s="35" t="s">
        <v>29</v>
      </c>
      <c r="I8" s="35" t="s">
        <v>7</v>
      </c>
      <c r="J8" s="35"/>
      <c r="K8" s="35" t="s">
        <v>30</v>
      </c>
      <c r="L8" s="35"/>
      <c r="M8" s="35" t="s">
        <v>211</v>
      </c>
      <c r="N8" s="35" t="s">
        <v>36</v>
      </c>
      <c r="O8" s="35">
        <v>3224</v>
      </c>
      <c r="P8" s="35">
        <v>1904</v>
      </c>
      <c r="Q8" s="35">
        <v>1950</v>
      </c>
      <c r="R8" s="35"/>
      <c r="S8" s="35">
        <v>2942</v>
      </c>
      <c r="T8" s="35">
        <v>2050</v>
      </c>
      <c r="U8" s="35">
        <v>6124</v>
      </c>
      <c r="V8" s="35">
        <v>900</v>
      </c>
      <c r="W8" s="35">
        <v>3450</v>
      </c>
      <c r="X8" s="35">
        <v>1617</v>
      </c>
      <c r="Y8" s="35"/>
      <c r="Z8" s="35">
        <v>5</v>
      </c>
      <c r="AA8" s="35" t="s">
        <v>37</v>
      </c>
      <c r="AB8" s="35">
        <v>3500</v>
      </c>
      <c r="AC8" s="35">
        <v>500</v>
      </c>
      <c r="AD8" s="35"/>
      <c r="AE8" s="35"/>
      <c r="AF8" s="35"/>
      <c r="AG8" s="35"/>
      <c r="AH8" s="35">
        <v>12</v>
      </c>
      <c r="AI8" s="35" t="s">
        <v>694</v>
      </c>
      <c r="AJ8" s="35" t="s">
        <v>241</v>
      </c>
      <c r="AK8" s="35" t="s">
        <v>418</v>
      </c>
      <c r="AL8" s="35" t="s">
        <v>102</v>
      </c>
      <c r="AM8" s="35" t="s">
        <v>173</v>
      </c>
      <c r="AN8" s="35" t="s">
        <v>695</v>
      </c>
      <c r="AO8" s="92" t="s">
        <v>787</v>
      </c>
      <c r="AP8" s="92" t="s">
        <v>788</v>
      </c>
      <c r="AQ8" s="92" t="s">
        <v>791</v>
      </c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88">
        <f>IF(CONCATENATE(A8,B8,C8,D8,E8,F8,G8,H8,I8,J8,K8,L8,M8,N8,O8,P8,Q8,R8,S8,T8,U8,V8,W8,X8,Y8,Z8,AA8,AB8,AC8,AD8,AE8,AF8,AG8,AH8,AI8,AJ8,AK8,AL8,AM8,AN8,AO8,AR8,AS8,AT8,AU8,AV8,AW8,AX8,AY8,AZ8,BA8,BB8,BC8,BD8,BE8,BF8,BG8,BH8,BI8,BJ8,BK8,BL8,BM8)=(CONCATENATE([1]FS_referentiel_produits_std!A8,[1]FS_referentiel_produits_std!B8,[1]FS_referentiel_produits_std!C8,[1]FS_referentiel_produits_std!D8,[1]FS_referentiel_produits_std!E8,[1]FS_referentiel_produits_std!F8,[1]FS_referentiel_produits_std!G8,[1]FS_referentiel_produits_std!H8,[1]FS_referentiel_produits_std!I8,[1]FS_referentiel_produits_std!J8,[1]FS_referentiel_produits_std!K8,[1]FS_referentiel_produits_std!L8,[1]FS_referentiel_produits_std!M8,[1]FS_referentiel_produits_std!N8,[1]FS_referentiel_produits_std!O8,[1]FS_referentiel_produits_std!P8,[1]FS_referentiel_produits_std!Q8,[1]FS_referentiel_produits_std!R8,[1]FS_referentiel_produits_std!S8,[1]FS_referentiel_produits_std!T8,[1]FS_referentiel_produits_std!U8,[1]FS_referentiel_produits_std!V8,[1]FS_referentiel_produits_std!W8,[1]FS_referentiel_produits_std!X8,[1]FS_referentiel_produits_std!Y8,[1]FS_referentiel_produits_std!Z8,[1]FS_referentiel_produits_std!AA8,[1]FS_referentiel_produits_std!AB8,[1]FS_referentiel_produits_std!AC8,[1]FS_referentiel_produits_std!AD8,[1]FS_referentiel_produits_std!AE8,[1]FS_referentiel_produits_std!AF8,[1]FS_referentiel_produits_std!AG8,[1]FS_referentiel_produits_std!AH8,[1]FS_referentiel_produits_std!AI8,[1]FS_referentiel_produits_std!AJ8,[1]FS_referentiel_produits_std!AK8,[1]FS_referentiel_produits_std!AL8,[1]FS_referentiel_produits_std!AM8,[1]FS_referentiel_produits_std!AN8,[1]FS_referentiel_produits_std!AO8,[1]FS_referentiel_produits_std!AP8,[1]FS_referentiel_produits_std!AQ8,[1]FS_referentiel_produits_std!AR8,[1]FS_referentiel_produits_std!AS8,[1]FS_referentiel_produits_std!AT8,[1]FS_referentiel_produits_std!AU8,[1]FS_referentiel_produits_std!AV8,[1]FS_referentiel_produits_std!AW8,[1]FS_referentiel_produits_std!AX8,[1]FS_referentiel_produits_std!AY8,[1]FS_referentiel_produits_std!AZ8,[1]FS_referentiel_produits_std!BA8,[1]FS_referentiel_produits_std!BB8,[1]FS_referentiel_produits_std!BC8,[1]FS_referentiel_produits_std!BD8,[1]FS_referentiel_produits_std!BE8,[1]FS_referentiel_produits_std!BF8,[1]FS_referentiel_produits_std!BG8,[1]FS_referentiel_produits_std!BH8,[1]FS_referentiel_produits_std!BI8,[1]FS_referentiel_produits_std!BJ8,[1]FS_referentiel_produits_std!BK8)),0,1)</f>
        <v>1</v>
      </c>
    </row>
    <row r="9" spans="1:179" s="65" customFormat="1" ht="24.95" customHeight="1" x14ac:dyDescent="0.25">
      <c r="A9" s="35" t="s">
        <v>212</v>
      </c>
      <c r="B9" s="36" t="s">
        <v>75</v>
      </c>
      <c r="C9" s="36"/>
      <c r="D9" s="35"/>
      <c r="E9" s="35" t="s">
        <v>34</v>
      </c>
      <c r="F9" s="35" t="s">
        <v>35</v>
      </c>
      <c r="G9" s="35" t="s">
        <v>89</v>
      </c>
      <c r="H9" s="35" t="s">
        <v>29</v>
      </c>
      <c r="I9" s="35" t="s">
        <v>7</v>
      </c>
      <c r="J9" s="35"/>
      <c r="K9" s="35" t="s">
        <v>30</v>
      </c>
      <c r="L9" s="35"/>
      <c r="M9" s="35" t="s">
        <v>210</v>
      </c>
      <c r="N9" s="35" t="s">
        <v>36</v>
      </c>
      <c r="O9" s="35">
        <v>3224</v>
      </c>
      <c r="P9" s="35">
        <v>1904</v>
      </c>
      <c r="Q9" s="35">
        <v>1950</v>
      </c>
      <c r="R9" s="35"/>
      <c r="S9" s="35">
        <v>2942</v>
      </c>
      <c r="T9" s="35">
        <v>2050</v>
      </c>
      <c r="U9" s="35">
        <v>6124</v>
      </c>
      <c r="V9" s="35">
        <v>900</v>
      </c>
      <c r="W9" s="35">
        <v>3450</v>
      </c>
      <c r="X9" s="35">
        <v>1617</v>
      </c>
      <c r="Y9" s="35"/>
      <c r="Z9" s="35">
        <v>5</v>
      </c>
      <c r="AA9" s="35" t="s">
        <v>37</v>
      </c>
      <c r="AB9" s="35">
        <v>3500</v>
      </c>
      <c r="AC9" s="35">
        <v>500</v>
      </c>
      <c r="AD9" s="35"/>
      <c r="AE9" s="35"/>
      <c r="AF9" s="35"/>
      <c r="AG9" s="35"/>
      <c r="AH9" s="35">
        <v>12</v>
      </c>
      <c r="AI9" s="35" t="s">
        <v>694</v>
      </c>
      <c r="AJ9" s="35" t="s">
        <v>241</v>
      </c>
      <c r="AK9" s="35" t="s">
        <v>418</v>
      </c>
      <c r="AL9" s="35" t="s">
        <v>102</v>
      </c>
      <c r="AM9" s="35" t="s">
        <v>173</v>
      </c>
      <c r="AN9" s="35" t="s">
        <v>695</v>
      </c>
      <c r="AO9" s="92" t="s">
        <v>787</v>
      </c>
      <c r="AP9" s="92" t="s">
        <v>789</v>
      </c>
      <c r="AQ9" s="92" t="s">
        <v>791</v>
      </c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88">
        <f>IF(CONCATENATE(A9,B9,C9,D9,E9,F9,G9,H9,I9,J9,K9,L9,M9,N9,O9,P9,Q9,R9,S9,T9,U9,V9,W9,X9,Y9,Z9,AA9,AB9,AC9,AD9,AE9,AF9,AG9,AH9,AI9,AJ9,AK9,AL9,AM9,AN9,AO9,AR9,AS9,AT9,AU9,AV9,AW9,AX9,AY9,AZ9,BA9,BB9,BC9,BD9,BE9,BF9,BG9,BH9,BI9,BJ9,BK9,BL9,BM9)=(CONCATENATE([1]FS_referentiel_produits_std!A10,[1]FS_referentiel_produits_std!B10,[1]FS_referentiel_produits_std!C10,[1]FS_referentiel_produits_std!D10,[1]FS_referentiel_produits_std!E10,[1]FS_referentiel_produits_std!F10,[1]FS_referentiel_produits_std!G10,[1]FS_referentiel_produits_std!H10,[1]FS_referentiel_produits_std!I10,[1]FS_referentiel_produits_std!J10,[1]FS_referentiel_produits_std!K10,[1]FS_referentiel_produits_std!L10,[1]FS_referentiel_produits_std!M10,[1]FS_referentiel_produits_std!N10,[1]FS_referentiel_produits_std!O10,[1]FS_referentiel_produits_std!P10,[1]FS_referentiel_produits_std!Q10,[1]FS_referentiel_produits_std!R10,[1]FS_referentiel_produits_std!S10,[1]FS_referentiel_produits_std!T10,[1]FS_referentiel_produits_std!U10,[1]FS_referentiel_produits_std!V10,[1]FS_referentiel_produits_std!W10,[1]FS_referentiel_produits_std!X10,[1]FS_referentiel_produits_std!Y10,[1]FS_referentiel_produits_std!Z10,[1]FS_referentiel_produits_std!AA10,[1]FS_referentiel_produits_std!AB10,[1]FS_referentiel_produits_std!AC10,[1]FS_referentiel_produits_std!AD10,[1]FS_referentiel_produits_std!AE10,[1]FS_referentiel_produits_std!AF10,[1]FS_referentiel_produits_std!AG10,[1]FS_referentiel_produits_std!AH10,[1]FS_referentiel_produits_std!AI10,[1]FS_referentiel_produits_std!AJ10,[1]FS_referentiel_produits_std!AK10,[1]FS_referentiel_produits_std!AL10,[1]FS_referentiel_produits_std!AM10,[1]FS_referentiel_produits_std!AN10,[1]FS_referentiel_produits_std!AO10,[1]FS_referentiel_produits_std!AP10,[1]FS_referentiel_produits_std!AQ10,[1]FS_referentiel_produits_std!AR10,[1]FS_referentiel_produits_std!AS10,[1]FS_referentiel_produits_std!AT10,[1]FS_referentiel_produits_std!AU10,[1]FS_referentiel_produits_std!AV10,[1]FS_referentiel_produits_std!AW10,[1]FS_referentiel_produits_std!AX10,[1]FS_referentiel_produits_std!AY10,[1]FS_referentiel_produits_std!AZ10,[1]FS_referentiel_produits_std!BA10,[1]FS_referentiel_produits_std!BB10,[1]FS_referentiel_produits_std!BC10,[1]FS_referentiel_produits_std!BD10,[1]FS_referentiel_produits_std!BE10,[1]FS_referentiel_produits_std!BF10,[1]FS_referentiel_produits_std!BG10,[1]FS_referentiel_produits_std!BH10,[1]FS_referentiel_produits_std!BI10,[1]FS_referentiel_produits_std!BJ10,[1]FS_referentiel_produits_std!BK10)),0,1)</f>
        <v>1</v>
      </c>
    </row>
    <row r="10" spans="1:179" s="65" customFormat="1" ht="24.95" customHeight="1" x14ac:dyDescent="0.25">
      <c r="A10" s="36" t="s">
        <v>212</v>
      </c>
      <c r="B10" s="36" t="s">
        <v>75</v>
      </c>
      <c r="C10" s="36"/>
      <c r="D10" s="36"/>
      <c r="E10" s="36" t="s">
        <v>34</v>
      </c>
      <c r="F10" s="36" t="s">
        <v>35</v>
      </c>
      <c r="G10" s="36" t="s">
        <v>89</v>
      </c>
      <c r="H10" s="36" t="s">
        <v>29</v>
      </c>
      <c r="I10" s="36" t="s">
        <v>7</v>
      </c>
      <c r="J10" s="36"/>
      <c r="K10" s="36" t="s">
        <v>30</v>
      </c>
      <c r="L10" s="36"/>
      <c r="M10" s="36" t="s">
        <v>741</v>
      </c>
      <c r="N10" s="36" t="s">
        <v>36</v>
      </c>
      <c r="O10" s="36">
        <v>3224</v>
      </c>
      <c r="P10" s="36">
        <v>1904</v>
      </c>
      <c r="Q10" s="36">
        <v>1950</v>
      </c>
      <c r="R10" s="36"/>
      <c r="S10" s="36">
        <v>2940</v>
      </c>
      <c r="T10" s="36">
        <v>2050</v>
      </c>
      <c r="U10" s="36">
        <v>6123</v>
      </c>
      <c r="V10" s="36">
        <v>900</v>
      </c>
      <c r="W10" s="36">
        <v>3450</v>
      </c>
      <c r="X10" s="36">
        <v>1625</v>
      </c>
      <c r="Y10" s="36"/>
      <c r="Z10" s="36">
        <v>5</v>
      </c>
      <c r="AA10" s="36" t="s">
        <v>37</v>
      </c>
      <c r="AB10" s="36">
        <v>3500</v>
      </c>
      <c r="AC10" s="36">
        <v>500</v>
      </c>
      <c r="AD10" s="36"/>
      <c r="AE10" s="36"/>
      <c r="AF10" s="36"/>
      <c r="AG10" s="36"/>
      <c r="AH10" s="36">
        <v>12</v>
      </c>
      <c r="AI10" s="36" t="s">
        <v>742</v>
      </c>
      <c r="AJ10" s="35" t="s">
        <v>754</v>
      </c>
      <c r="AK10" s="36"/>
      <c r="AL10" s="35" t="s">
        <v>702</v>
      </c>
      <c r="AM10" s="35" t="s">
        <v>753</v>
      </c>
      <c r="AN10" s="36"/>
      <c r="AO10" s="35"/>
      <c r="AP10" s="35"/>
      <c r="AQ10" s="35"/>
      <c r="AR10" s="36"/>
      <c r="AS10" s="36"/>
      <c r="AT10" s="36"/>
      <c r="AU10" s="36"/>
      <c r="AV10" s="36"/>
      <c r="AW10" s="36"/>
      <c r="AX10" s="36"/>
      <c r="AY10" s="36"/>
      <c r="AZ10" s="86"/>
      <c r="BA10" s="86"/>
      <c r="BB10" s="86"/>
      <c r="BC10" s="86"/>
      <c r="BD10" s="86"/>
      <c r="BE10" s="86"/>
      <c r="BF10" s="86"/>
      <c r="BG10" s="86"/>
      <c r="BH10" s="86"/>
      <c r="BI10" s="86"/>
      <c r="BJ10" s="86"/>
      <c r="BK10" s="86"/>
      <c r="BL10" s="86"/>
      <c r="BM10" s="86"/>
      <c r="BN10" s="91"/>
      <c r="BO10" s="91"/>
      <c r="BP10" s="91"/>
      <c r="BQ10" s="87"/>
      <c r="BR10" s="87"/>
      <c r="BS10" s="87"/>
      <c r="BT10" s="87"/>
      <c r="BU10" s="87"/>
      <c r="BV10" s="87"/>
      <c r="BW10" s="87"/>
      <c r="BX10" s="87"/>
      <c r="BY10" s="87"/>
      <c r="BZ10" s="87"/>
      <c r="CA10" s="87"/>
      <c r="CB10" s="87"/>
      <c r="CC10" s="87"/>
      <c r="CD10" s="87"/>
      <c r="CE10" s="87"/>
      <c r="CF10" s="87"/>
      <c r="CG10" s="87"/>
      <c r="CH10" s="87"/>
      <c r="CI10" s="87"/>
      <c r="CJ10" s="87"/>
      <c r="CK10" s="87"/>
      <c r="CL10" s="87"/>
      <c r="CM10" s="87"/>
      <c r="CN10" s="87"/>
      <c r="CO10" s="87"/>
      <c r="CP10" s="87"/>
      <c r="CQ10" s="87"/>
      <c r="CR10" s="87"/>
      <c r="CS10" s="87"/>
      <c r="CT10" s="87"/>
      <c r="CU10" s="87"/>
      <c r="CV10" s="87"/>
      <c r="CW10" s="87"/>
      <c r="CX10" s="87"/>
      <c r="CY10" s="87"/>
      <c r="CZ10" s="87"/>
      <c r="DA10" s="87"/>
      <c r="DB10" s="87"/>
      <c r="DC10" s="87"/>
      <c r="DD10" s="87"/>
      <c r="DE10" s="87"/>
      <c r="DF10" s="87"/>
      <c r="DG10" s="87"/>
      <c r="DH10" s="87"/>
      <c r="DI10" s="87"/>
      <c r="DJ10" s="87"/>
      <c r="DK10" s="87"/>
      <c r="DL10" s="87"/>
      <c r="DM10" s="87"/>
      <c r="DN10" s="87"/>
      <c r="DO10" s="87"/>
      <c r="DP10" s="87"/>
      <c r="DQ10" s="87"/>
      <c r="DR10" s="87"/>
      <c r="DS10" s="87"/>
      <c r="DT10" s="87"/>
      <c r="DU10" s="87"/>
      <c r="DV10" s="87"/>
      <c r="DW10" s="87"/>
      <c r="DX10" s="87"/>
      <c r="DY10" s="87"/>
      <c r="DZ10" s="87"/>
      <c r="EA10" s="87"/>
      <c r="EB10" s="87"/>
      <c r="EC10" s="87"/>
      <c r="ED10" s="87"/>
      <c r="EE10" s="87"/>
      <c r="EF10" s="87"/>
      <c r="EG10" s="87"/>
      <c r="EH10" s="87"/>
      <c r="EI10" s="87"/>
      <c r="EJ10" s="87"/>
      <c r="EK10" s="87"/>
      <c r="EL10" s="87"/>
      <c r="EM10" s="87"/>
      <c r="EN10" s="87"/>
      <c r="EO10" s="87"/>
      <c r="EP10" s="87"/>
      <c r="EQ10" s="87"/>
      <c r="ER10" s="87"/>
      <c r="ES10" s="87"/>
      <c r="ET10" s="87"/>
      <c r="EU10" s="87"/>
      <c r="EV10" s="87"/>
      <c r="EW10" s="87"/>
      <c r="EX10" s="87"/>
      <c r="EY10" s="87"/>
      <c r="EZ10" s="87"/>
      <c r="FA10" s="87"/>
      <c r="FB10" s="87"/>
      <c r="FC10" s="87"/>
      <c r="FD10" s="87"/>
      <c r="FE10" s="87"/>
      <c r="FF10" s="87"/>
      <c r="FG10" s="87"/>
      <c r="FH10" s="87"/>
      <c r="FI10" s="87"/>
      <c r="FJ10" s="87"/>
      <c r="FK10" s="87"/>
      <c r="FL10" s="87"/>
      <c r="FM10" s="87"/>
      <c r="FN10" s="87"/>
      <c r="FO10" s="87"/>
      <c r="FP10" s="87"/>
      <c r="FQ10" s="87"/>
      <c r="FR10" s="87"/>
      <c r="FS10" s="87"/>
      <c r="FT10" s="87"/>
      <c r="FU10" s="87"/>
      <c r="FV10" s="87"/>
      <c r="FW10" s="87"/>
    </row>
    <row r="11" spans="1:179" s="65" customFormat="1" ht="24.95" customHeight="1" x14ac:dyDescent="0.25">
      <c r="A11" s="35" t="s">
        <v>212</v>
      </c>
      <c r="B11" s="36" t="s">
        <v>75</v>
      </c>
      <c r="C11" s="36"/>
      <c r="D11" s="35"/>
      <c r="E11" s="35" t="s">
        <v>34</v>
      </c>
      <c r="F11" s="35" t="s">
        <v>35</v>
      </c>
      <c r="G11" s="35" t="s">
        <v>89</v>
      </c>
      <c r="H11" s="35" t="s">
        <v>29</v>
      </c>
      <c r="I11" s="35" t="s">
        <v>7</v>
      </c>
      <c r="J11" s="35"/>
      <c r="K11" s="35" t="s">
        <v>30</v>
      </c>
      <c r="L11" s="35"/>
      <c r="M11" s="35" t="s">
        <v>726</v>
      </c>
      <c r="N11" s="35" t="s">
        <v>36</v>
      </c>
      <c r="O11" s="35">
        <v>3224</v>
      </c>
      <c r="P11" s="35">
        <v>1904</v>
      </c>
      <c r="Q11" s="35">
        <v>1950</v>
      </c>
      <c r="R11" s="35"/>
      <c r="S11" s="35">
        <v>2942</v>
      </c>
      <c r="T11" s="35">
        <v>2050</v>
      </c>
      <c r="U11" s="35">
        <v>6124</v>
      </c>
      <c r="V11" s="35">
        <v>900</v>
      </c>
      <c r="W11" s="35">
        <v>3450</v>
      </c>
      <c r="X11" s="35">
        <v>1617</v>
      </c>
      <c r="Y11" s="35"/>
      <c r="Z11" s="35">
        <v>5</v>
      </c>
      <c r="AA11" s="35" t="s">
        <v>37</v>
      </c>
      <c r="AB11" s="35">
        <v>3500</v>
      </c>
      <c r="AC11" s="35">
        <v>500</v>
      </c>
      <c r="AD11" s="35"/>
      <c r="AE11" s="35"/>
      <c r="AF11" s="35"/>
      <c r="AG11" s="35"/>
      <c r="AH11" s="35">
        <v>12</v>
      </c>
      <c r="AI11" s="35" t="s">
        <v>759</v>
      </c>
      <c r="AJ11" s="35" t="s">
        <v>758</v>
      </c>
      <c r="AK11" s="35" t="s">
        <v>745</v>
      </c>
      <c r="AL11" s="35" t="s">
        <v>746</v>
      </c>
      <c r="AM11" s="35" t="s">
        <v>747</v>
      </c>
      <c r="AN11" s="35" t="s">
        <v>748</v>
      </c>
      <c r="AO11" s="92" t="s">
        <v>787</v>
      </c>
      <c r="AP11" s="92" t="s">
        <v>790</v>
      </c>
      <c r="AQ11" s="92" t="s">
        <v>791</v>
      </c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88">
        <f>IF(CONCATENATE(A11,B11,C11,D11,E11,F11,G11,H11,I11,J11,K11,L11,M11,N11,O11,P11,Q11,R11,S11,T11,U11,V11,W11,X11,Y11,Z11,AA11,AB11,AC11,AD11,AE11,AF11,AG11,AH11,AI11,AJ11,AK11,AL11,AM11,AN11,AO11,AR11,AS11,AT11,AU11,AV11,AW11,AX11,AY11,AZ11,BA11,BB11,BC11,BD11,BE11,BF11,BG11,BH11,BI11,BJ11,BK11,BL11,BM11)=(CONCATENATE([1]FS_referentiel_produits_std!A12,[1]FS_referentiel_produits_std!B12,[1]FS_referentiel_produits_std!C12,[1]FS_referentiel_produits_std!D12,[1]FS_referentiel_produits_std!E12,[1]FS_referentiel_produits_std!F12,[1]FS_referentiel_produits_std!G12,[1]FS_referentiel_produits_std!H12,[1]FS_referentiel_produits_std!I12,[1]FS_referentiel_produits_std!J12,[1]FS_referentiel_produits_std!K12,[1]FS_referentiel_produits_std!L12,[1]FS_referentiel_produits_std!M12,[1]FS_referentiel_produits_std!N12,[1]FS_referentiel_produits_std!O12,[1]FS_referentiel_produits_std!P12,[1]FS_referentiel_produits_std!Q12,[1]FS_referentiel_produits_std!R12,[1]FS_referentiel_produits_std!S12,[1]FS_referentiel_produits_std!T12,[1]FS_referentiel_produits_std!U12,[1]FS_referentiel_produits_std!V12,[1]FS_referentiel_produits_std!W12,[1]FS_referentiel_produits_std!X12,[1]FS_referentiel_produits_std!Y12,[1]FS_referentiel_produits_std!Z12,[1]FS_referentiel_produits_std!AA12,[1]FS_referentiel_produits_std!AB12,[1]FS_referentiel_produits_std!AC12,[1]FS_referentiel_produits_std!AD12,[1]FS_referentiel_produits_std!AE12,[1]FS_referentiel_produits_std!AF12,[1]FS_referentiel_produits_std!AG12,[1]FS_referentiel_produits_std!AH12,[1]FS_referentiel_produits_std!AI12,[1]FS_referentiel_produits_std!AJ12,[1]FS_referentiel_produits_std!AK12,[1]FS_referentiel_produits_std!AL12,[1]FS_referentiel_produits_std!AM12,[1]FS_referentiel_produits_std!AN12,[1]FS_referentiel_produits_std!AO12,[1]FS_referentiel_produits_std!AP12,[1]FS_referentiel_produits_std!AQ12,[1]FS_referentiel_produits_std!AR12,[1]FS_referentiel_produits_std!AS12,[1]FS_referentiel_produits_std!AT12,[1]FS_referentiel_produits_std!AU12,[1]FS_referentiel_produits_std!AV12,[1]FS_referentiel_produits_std!AW12,[1]FS_referentiel_produits_std!AX12,[1]FS_referentiel_produits_std!AY12,[1]FS_referentiel_produits_std!AZ12,[1]FS_referentiel_produits_std!BA12,[1]FS_referentiel_produits_std!BB12,[1]FS_referentiel_produits_std!BC12,[1]FS_referentiel_produits_std!BD12,[1]FS_referentiel_produits_std!BE12,[1]FS_referentiel_produits_std!BF12,[1]FS_referentiel_produits_std!BG12,[1]FS_referentiel_produits_std!BH12,[1]FS_referentiel_produits_std!BI12,[1]FS_referentiel_produits_std!BJ12,[1]FS_referentiel_produits_std!BK12)),0,1)</f>
        <v>1</v>
      </c>
    </row>
    <row r="12" spans="1:179" s="65" customFormat="1" ht="24.95" customHeight="1" x14ac:dyDescent="0.25">
      <c r="A12" s="36" t="s">
        <v>212</v>
      </c>
      <c r="B12" s="36" t="s">
        <v>75</v>
      </c>
      <c r="C12" s="36"/>
      <c r="D12" s="36"/>
      <c r="E12" s="36" t="s">
        <v>34</v>
      </c>
      <c r="F12" s="36" t="s">
        <v>35</v>
      </c>
      <c r="G12" s="36" t="s">
        <v>89</v>
      </c>
      <c r="H12" s="36" t="s">
        <v>29</v>
      </c>
      <c r="I12" s="36" t="s">
        <v>7</v>
      </c>
      <c r="J12" s="36"/>
      <c r="K12" s="36" t="s">
        <v>30</v>
      </c>
      <c r="L12" s="36"/>
      <c r="M12" s="36" t="s">
        <v>743</v>
      </c>
      <c r="N12" s="36" t="s">
        <v>36</v>
      </c>
      <c r="O12" s="36">
        <v>3224</v>
      </c>
      <c r="P12" s="36">
        <v>1904</v>
      </c>
      <c r="Q12" s="36">
        <v>1950</v>
      </c>
      <c r="R12" s="36"/>
      <c r="S12" s="36">
        <v>2940</v>
      </c>
      <c r="T12" s="36">
        <v>2050</v>
      </c>
      <c r="U12" s="36">
        <v>6123</v>
      </c>
      <c r="V12" s="36">
        <v>900</v>
      </c>
      <c r="W12" s="36">
        <v>3450</v>
      </c>
      <c r="X12" s="36">
        <v>1625</v>
      </c>
      <c r="Y12" s="36"/>
      <c r="Z12" s="36">
        <v>5</v>
      </c>
      <c r="AA12" s="36" t="s">
        <v>37</v>
      </c>
      <c r="AB12" s="36">
        <v>3500</v>
      </c>
      <c r="AC12" s="36">
        <v>500</v>
      </c>
      <c r="AD12" s="36"/>
      <c r="AE12" s="36"/>
      <c r="AF12" s="36"/>
      <c r="AG12" s="36"/>
      <c r="AH12" s="36">
        <v>12</v>
      </c>
      <c r="AI12" s="36" t="s">
        <v>776</v>
      </c>
      <c r="AJ12" s="35" t="s">
        <v>756</v>
      </c>
      <c r="AK12" s="35" t="s">
        <v>757</v>
      </c>
      <c r="AL12" s="35" t="s">
        <v>749</v>
      </c>
      <c r="AM12" s="35" t="s">
        <v>750</v>
      </c>
      <c r="AN12" s="36" t="s">
        <v>751</v>
      </c>
      <c r="AO12" s="35"/>
      <c r="AP12" s="35"/>
      <c r="AQ12" s="35"/>
      <c r="AR12" s="36"/>
      <c r="AS12" s="36"/>
      <c r="AT12" s="36"/>
      <c r="AU12" s="36"/>
      <c r="AV12" s="36"/>
      <c r="AW12" s="36"/>
      <c r="AX12" s="36"/>
      <c r="AY12" s="36"/>
      <c r="AZ12" s="86"/>
      <c r="BA12" s="86"/>
      <c r="BB12" s="86"/>
      <c r="BC12" s="86"/>
      <c r="BD12" s="86"/>
      <c r="BE12" s="86"/>
      <c r="BF12" s="86"/>
      <c r="BG12" s="86"/>
      <c r="BH12" s="86"/>
      <c r="BI12" s="86"/>
      <c r="BJ12" s="86"/>
      <c r="BK12" s="86"/>
      <c r="BL12" s="86"/>
      <c r="BM12" s="86"/>
      <c r="BN12" s="91"/>
      <c r="BO12" s="91"/>
      <c r="BP12" s="91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87"/>
      <c r="CD12" s="87"/>
      <c r="CE12" s="87"/>
      <c r="CF12" s="87"/>
      <c r="CG12" s="87"/>
      <c r="CH12" s="87"/>
      <c r="CI12" s="87"/>
      <c r="CJ12" s="87"/>
      <c r="CK12" s="87"/>
      <c r="CL12" s="87"/>
      <c r="CM12" s="87"/>
      <c r="CN12" s="87"/>
      <c r="CO12" s="87"/>
      <c r="CP12" s="87"/>
      <c r="CQ12" s="87"/>
      <c r="CR12" s="87"/>
      <c r="CS12" s="87"/>
      <c r="CT12" s="87"/>
      <c r="CU12" s="87"/>
      <c r="CV12" s="87"/>
      <c r="CW12" s="87"/>
      <c r="CX12" s="87"/>
      <c r="CY12" s="87"/>
      <c r="CZ12" s="87"/>
      <c r="DA12" s="87"/>
      <c r="DB12" s="87"/>
      <c r="DC12" s="87"/>
      <c r="DD12" s="87"/>
      <c r="DE12" s="87"/>
      <c r="DF12" s="87"/>
      <c r="DG12" s="87"/>
      <c r="DH12" s="87"/>
      <c r="DI12" s="87"/>
      <c r="DJ12" s="87"/>
      <c r="DK12" s="87"/>
      <c r="DL12" s="87"/>
      <c r="DM12" s="87"/>
      <c r="DN12" s="87"/>
      <c r="DO12" s="87"/>
      <c r="DP12" s="87"/>
      <c r="DQ12" s="87"/>
      <c r="DR12" s="87"/>
      <c r="DS12" s="87"/>
      <c r="DT12" s="87"/>
      <c r="DU12" s="87"/>
      <c r="DV12" s="87"/>
      <c r="DW12" s="87"/>
      <c r="DX12" s="87"/>
      <c r="DY12" s="87"/>
      <c r="DZ12" s="87"/>
      <c r="EA12" s="87"/>
      <c r="EB12" s="87"/>
      <c r="EC12" s="87"/>
      <c r="ED12" s="87"/>
      <c r="EE12" s="87"/>
      <c r="EF12" s="87"/>
      <c r="EG12" s="87"/>
      <c r="EH12" s="87"/>
      <c r="EI12" s="87"/>
      <c r="EJ12" s="87"/>
      <c r="EK12" s="87"/>
      <c r="EL12" s="87"/>
      <c r="EM12" s="87"/>
      <c r="EN12" s="87"/>
      <c r="EO12" s="87"/>
      <c r="EP12" s="87"/>
      <c r="EQ12" s="87"/>
      <c r="ER12" s="87"/>
      <c r="ES12" s="87"/>
      <c r="ET12" s="87"/>
      <c r="EU12" s="87"/>
      <c r="EV12" s="87"/>
      <c r="EW12" s="87"/>
      <c r="EX12" s="87"/>
      <c r="EY12" s="87"/>
      <c r="EZ12" s="87"/>
      <c r="FA12" s="87"/>
      <c r="FB12" s="87"/>
      <c r="FC12" s="87"/>
      <c r="FD12" s="87"/>
      <c r="FE12" s="87"/>
      <c r="FF12" s="87"/>
      <c r="FG12" s="87"/>
      <c r="FH12" s="87"/>
      <c r="FI12" s="87"/>
      <c r="FJ12" s="87"/>
      <c r="FK12" s="87"/>
      <c r="FL12" s="87"/>
      <c r="FM12" s="87"/>
      <c r="FN12" s="87"/>
      <c r="FO12" s="87"/>
      <c r="FP12" s="87"/>
      <c r="FQ12" s="87"/>
      <c r="FR12" s="87"/>
      <c r="FS12" s="87"/>
      <c r="FT12" s="87"/>
      <c r="FU12" s="87"/>
      <c r="FV12" s="87"/>
      <c r="FW12" s="87"/>
    </row>
  </sheetData>
  <autoFilter ref="A1:BM12" xr:uid="{00000000-0001-0000-0100-000000000000}"/>
  <phoneticPr fontId="24" type="noConversion"/>
  <conditionalFormatting sqref="BN8:BN9">
    <cfRule type="cellIs" dxfId="58" priority="3" operator="equal">
      <formula>0</formula>
    </cfRule>
    <cfRule type="cellIs" dxfId="57" priority="4" operator="greaterThan">
      <formula>0</formula>
    </cfRule>
  </conditionalFormatting>
  <conditionalFormatting sqref="BN11">
    <cfRule type="cellIs" dxfId="56" priority="1" operator="equal">
      <formula>0</formula>
    </cfRule>
    <cfRule type="cellIs" dxfId="55" priority="2" operator="greaterThan">
      <formula>0</formula>
    </cfRule>
  </conditionalFormatting>
  <hyperlinks>
    <hyperlink ref="AO2" r:id="rId1" xr:uid="{0C7C2158-A07A-41F3-8093-D8096A7B1CB8}"/>
    <hyperlink ref="AO4" r:id="rId2" xr:uid="{665E9BC5-7052-4B81-A766-EEAF7400E741}"/>
    <hyperlink ref="AO6" r:id="rId3" xr:uid="{89F40F77-637B-445B-8542-BCD26BE0F965}"/>
    <hyperlink ref="AO8" r:id="rId4" xr:uid="{2EF2D5B2-C0E6-480F-985E-A20ABAA6E4EE}"/>
    <hyperlink ref="AO9" r:id="rId5" xr:uid="{7D00E3C3-F966-4D9C-B5D9-CC92DBCFD28E}"/>
    <hyperlink ref="AO11" r:id="rId6" xr:uid="{60FDE3C3-790D-494D-98ED-F2B722FD0791}"/>
    <hyperlink ref="AP2" r:id="rId7" xr:uid="{483D5AB8-8F43-40B1-A57B-7F7E22FEB9C9}"/>
    <hyperlink ref="AP8" r:id="rId8" xr:uid="{F8C2B6F4-0AD1-44BE-B9F2-DC6E68AF6A50}"/>
    <hyperlink ref="AP9" r:id="rId9" xr:uid="{D36B3E75-BE06-43AC-892D-35B37F1D4346}"/>
    <hyperlink ref="AP4" r:id="rId10" xr:uid="{A4D9D4D1-3445-4BB1-AA0B-4E155713B7D4}"/>
    <hyperlink ref="AP11" r:id="rId11" xr:uid="{E88F15BF-396D-40F6-9393-37E099702197}"/>
    <hyperlink ref="AP6" r:id="rId12" xr:uid="{FB2065FF-2AB4-41BD-AC0F-6450815661B2}"/>
    <hyperlink ref="AQ2" r:id="rId13" xr:uid="{4BB72E02-AE70-4DBE-8EB2-5AE15B03A1C2}"/>
    <hyperlink ref="AQ4" r:id="rId14" xr:uid="{F18EB86E-4C3D-49C5-A104-B08C672ED41B}"/>
    <hyperlink ref="AQ6" r:id="rId15" xr:uid="{B6CE24E2-6387-43A9-8545-1FF324C6F47F}"/>
    <hyperlink ref="AQ8" r:id="rId16" xr:uid="{28A68BF8-77FC-4393-BADB-0BE922EE0655}"/>
    <hyperlink ref="AQ9" r:id="rId17" xr:uid="{45033F2D-648C-4D27-A54B-17612F678C9E}"/>
    <hyperlink ref="AQ11" r:id="rId18" xr:uid="{1719A024-04B6-4DEA-9AB3-0E9461FE0F4E}"/>
  </hyperlinks>
  <pageMargins left="0.70866141732283472" right="0.70866141732283472" top="0.74803149606299213" bottom="0.74803149606299213" header="0.31496062992125984" footer="0.31496062992125984"/>
  <pageSetup paperSize="8" fitToHeight="2" orientation="portrait" r:id="rId1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AB007-EBF1-4D61-901B-FEECBCB81EC1}">
  <sheetPr>
    <pageSetUpPr fitToPage="1"/>
  </sheetPr>
  <dimension ref="A1:FX7"/>
  <sheetViews>
    <sheetView zoomScale="85" zoomScaleNormal="85" workbookViewId="0">
      <pane xSplit="14" ySplit="1" topLeftCell="AM2" activePane="bottomRight" state="frozen"/>
      <selection pane="topRight" activeCell="O1" sqref="O1"/>
      <selection pane="bottomLeft" activeCell="A2" sqref="A2"/>
      <selection pane="bottomRight" activeCell="AN13" sqref="AN13"/>
    </sheetView>
  </sheetViews>
  <sheetFormatPr baseColWidth="10" defaultColWidth="10.7109375" defaultRowHeight="24.95" customHeight="1" outlineLevelCol="1" x14ac:dyDescent="0.25"/>
  <cols>
    <col min="1" max="1" width="10.7109375" style="87"/>
    <col min="2" max="2" width="16.42578125" style="87" customWidth="1"/>
    <col min="3" max="3" width="13.28515625" style="87" customWidth="1"/>
    <col min="4" max="4" width="12.140625" style="87" customWidth="1"/>
    <col min="5" max="5" width="13.85546875" style="87" customWidth="1"/>
    <col min="6" max="6" width="13.28515625" style="87" customWidth="1"/>
    <col min="7" max="9" width="10.7109375" style="87" hidden="1" customWidth="1" outlineLevel="1"/>
    <col min="10" max="10" width="13.28515625" style="87" customWidth="1" collapsed="1"/>
    <col min="11" max="11" width="16.140625" style="87" customWidth="1"/>
    <col min="12" max="12" width="13.7109375" style="87" hidden="1" customWidth="1" outlineLevel="1"/>
    <col min="13" max="13" width="39.140625" style="87" customWidth="1" collapsed="1"/>
    <col min="14" max="14" width="10.7109375" style="87"/>
    <col min="15" max="16" width="10.7109375" style="87" customWidth="1"/>
    <col min="17" max="17" width="10.7109375" style="87" customWidth="1" collapsed="1"/>
    <col min="18" max="18" width="8.7109375" style="87" customWidth="1"/>
    <col min="19" max="21" width="10.7109375" style="87" customWidth="1"/>
    <col min="22" max="22" width="10.7109375" style="48" customWidth="1"/>
    <col min="23" max="25" width="10.7109375" style="87" customWidth="1"/>
    <col min="26" max="26" width="10.7109375" style="87" customWidth="1" collapsed="1"/>
    <col min="27" max="27" width="81" style="89" customWidth="1"/>
    <col min="28" max="29" width="8.28515625" style="48" customWidth="1"/>
    <col min="30" max="31" width="10.7109375" style="87" customWidth="1"/>
    <col min="32" max="34" width="10.7109375" style="87" customWidth="1" collapsed="1"/>
    <col min="35" max="35" width="51.140625" style="87" customWidth="1" collapsed="1"/>
    <col min="36" max="36" width="51.140625" style="87" customWidth="1"/>
    <col min="37" max="37" width="36.5703125" style="89" customWidth="1" collapsed="1"/>
    <col min="38" max="38" width="36.5703125" style="89" customWidth="1"/>
    <col min="39" max="39" width="46.28515625" style="87" customWidth="1" collapsed="1"/>
    <col min="40" max="40" width="46.28515625" style="87" customWidth="1"/>
    <col min="41" max="41" width="35.85546875" style="87" customWidth="1" collapsed="1"/>
    <col min="42" max="42" width="35.85546875" style="87" customWidth="1"/>
    <col min="43" max="44" width="44.140625" style="89" customWidth="1"/>
    <col min="45" max="46" width="42.5703125" style="87" customWidth="1"/>
    <col min="47" max="49" width="60.42578125" style="90" customWidth="1"/>
    <col min="50" max="50" width="10.7109375" style="87" customWidth="1" outlineLevel="1"/>
    <col min="51" max="51" width="10.7109375" style="87" customWidth="1" outlineLevel="1" collapsed="1"/>
    <col min="52" max="71" width="10.7109375" style="87" customWidth="1" outlineLevel="1"/>
    <col min="72" max="16384" width="10.7109375" style="87"/>
  </cols>
  <sheetData>
    <row r="1" spans="1:180" s="65" customFormat="1" ht="24.95" customHeight="1" x14ac:dyDescent="0.25">
      <c r="A1" s="35" t="s">
        <v>0</v>
      </c>
      <c r="B1" s="83" t="s">
        <v>81</v>
      </c>
      <c r="C1" s="35" t="s">
        <v>94</v>
      </c>
      <c r="D1" s="84" t="s">
        <v>95</v>
      </c>
      <c r="E1" s="35" t="s">
        <v>1</v>
      </c>
      <c r="F1" s="35" t="s">
        <v>2</v>
      </c>
      <c r="G1" s="35" t="s">
        <v>88</v>
      </c>
      <c r="H1" s="35" t="s">
        <v>87</v>
      </c>
      <c r="I1" s="35" t="s">
        <v>3</v>
      </c>
      <c r="J1" s="35" t="s">
        <v>152</v>
      </c>
      <c r="K1" s="35" t="s">
        <v>86</v>
      </c>
      <c r="L1" s="35" t="s">
        <v>85</v>
      </c>
      <c r="M1" s="35" t="s">
        <v>4</v>
      </c>
      <c r="N1" s="35" t="s">
        <v>5</v>
      </c>
      <c r="O1" s="35" t="s">
        <v>83</v>
      </c>
      <c r="P1" s="35" t="s">
        <v>82</v>
      </c>
      <c r="Q1" s="35" t="s">
        <v>6</v>
      </c>
      <c r="R1" s="35" t="s">
        <v>84</v>
      </c>
      <c r="S1" s="35" t="s">
        <v>7</v>
      </c>
      <c r="T1" s="35" t="s">
        <v>8</v>
      </c>
      <c r="U1" s="35" t="s">
        <v>9</v>
      </c>
      <c r="V1" s="35" t="s">
        <v>10</v>
      </c>
      <c r="W1" s="35" t="s">
        <v>11</v>
      </c>
      <c r="X1" s="35" t="s">
        <v>12</v>
      </c>
      <c r="Y1" s="35" t="s">
        <v>13</v>
      </c>
      <c r="Z1" s="35" t="s">
        <v>362</v>
      </c>
      <c r="AA1" s="35" t="s">
        <v>14</v>
      </c>
      <c r="AB1" s="35" t="s">
        <v>15</v>
      </c>
      <c r="AC1" s="35" t="s">
        <v>16</v>
      </c>
      <c r="AD1" s="35" t="s">
        <v>17</v>
      </c>
      <c r="AE1" s="35" t="s">
        <v>18</v>
      </c>
      <c r="AF1" s="35" t="s">
        <v>19</v>
      </c>
      <c r="AG1" s="35" t="s">
        <v>20</v>
      </c>
      <c r="AH1" s="35" t="s">
        <v>21</v>
      </c>
      <c r="AI1" s="35" t="s">
        <v>22</v>
      </c>
      <c r="AJ1" s="35" t="s">
        <v>782</v>
      </c>
      <c r="AK1" s="35" t="s">
        <v>415</v>
      </c>
      <c r="AL1" s="35" t="s">
        <v>781</v>
      </c>
      <c r="AM1" s="35" t="s">
        <v>24</v>
      </c>
      <c r="AN1" s="35" t="s">
        <v>780</v>
      </c>
      <c r="AO1" s="35" t="s">
        <v>25</v>
      </c>
      <c r="AP1" s="35" t="s">
        <v>778</v>
      </c>
      <c r="AQ1" s="35" t="s">
        <v>26</v>
      </c>
      <c r="AR1" s="35" t="s">
        <v>779</v>
      </c>
      <c r="AS1" s="35" t="s">
        <v>27</v>
      </c>
      <c r="AT1" s="35" t="s">
        <v>777</v>
      </c>
      <c r="AU1" s="85" t="s">
        <v>783</v>
      </c>
      <c r="AV1" s="85" t="s">
        <v>784</v>
      </c>
      <c r="AW1" s="85" t="s">
        <v>785</v>
      </c>
      <c r="AX1" s="35" t="s">
        <v>155</v>
      </c>
      <c r="AY1" s="35" t="s">
        <v>154</v>
      </c>
      <c r="AZ1" s="35" t="s">
        <v>110</v>
      </c>
      <c r="BA1" s="35" t="s">
        <v>111</v>
      </c>
      <c r="BB1" s="35" t="s">
        <v>112</v>
      </c>
      <c r="BC1" s="35" t="s">
        <v>113</v>
      </c>
      <c r="BD1" s="35" t="s">
        <v>114</v>
      </c>
      <c r="BE1" s="35" t="s">
        <v>108</v>
      </c>
      <c r="BF1" s="35" t="s">
        <v>109</v>
      </c>
      <c r="BG1" s="35" t="s">
        <v>106</v>
      </c>
      <c r="BH1" s="35" t="s">
        <v>107</v>
      </c>
      <c r="BI1" s="35" t="s">
        <v>53</v>
      </c>
      <c r="BJ1" s="35" t="s">
        <v>54</v>
      </c>
      <c r="BK1" s="35" t="s">
        <v>55</v>
      </c>
      <c r="BL1" s="35" t="s">
        <v>56</v>
      </c>
      <c r="BM1" s="35" t="s">
        <v>57</v>
      </c>
      <c r="BN1" s="35" t="s">
        <v>58</v>
      </c>
      <c r="BO1" s="35" t="s">
        <v>59</v>
      </c>
      <c r="BP1" s="35" t="s">
        <v>60</v>
      </c>
      <c r="BQ1" s="35" t="s">
        <v>61</v>
      </c>
      <c r="BR1" s="35" t="s">
        <v>62</v>
      </c>
      <c r="BS1" s="35" t="s">
        <v>63</v>
      </c>
    </row>
    <row r="2" spans="1:180" s="65" customFormat="1" ht="24.95" customHeight="1" x14ac:dyDescent="0.25">
      <c r="A2" s="36" t="s">
        <v>212</v>
      </c>
      <c r="B2" s="36" t="s">
        <v>76</v>
      </c>
      <c r="C2" s="36"/>
      <c r="D2" s="36"/>
      <c r="E2" s="36" t="s">
        <v>98</v>
      </c>
      <c r="F2" s="36" t="s">
        <v>66</v>
      </c>
      <c r="G2" s="36" t="s">
        <v>32</v>
      </c>
      <c r="H2" s="36" t="s">
        <v>29</v>
      </c>
      <c r="I2" s="36"/>
      <c r="J2" s="36"/>
      <c r="K2" s="36" t="s">
        <v>30</v>
      </c>
      <c r="L2" s="36"/>
      <c r="M2" s="36" t="s">
        <v>421</v>
      </c>
      <c r="N2" s="36" t="s">
        <v>31</v>
      </c>
      <c r="O2" s="36">
        <v>1719</v>
      </c>
      <c r="P2" s="36">
        <v>1716</v>
      </c>
      <c r="Q2" s="36">
        <v>1425</v>
      </c>
      <c r="R2" s="36"/>
      <c r="S2" s="36">
        <v>2137</v>
      </c>
      <c r="T2" s="36">
        <v>1850</v>
      </c>
      <c r="U2" s="36">
        <v>4936</v>
      </c>
      <c r="V2" s="36">
        <v>640</v>
      </c>
      <c r="W2" s="36">
        <v>2716</v>
      </c>
      <c r="X2" s="36">
        <v>1260</v>
      </c>
      <c r="Y2" s="36"/>
      <c r="Z2" s="36"/>
      <c r="AA2" s="36" t="s">
        <v>363</v>
      </c>
      <c r="AB2" s="36">
        <v>2230</v>
      </c>
      <c r="AC2" s="36">
        <v>520</v>
      </c>
      <c r="AD2" s="36"/>
      <c r="AE2" s="36"/>
      <c r="AF2" s="36"/>
      <c r="AG2" s="36"/>
      <c r="AH2" s="36">
        <v>4</v>
      </c>
      <c r="AI2" s="36" t="s">
        <v>685</v>
      </c>
      <c r="AJ2" s="36" t="s">
        <v>728</v>
      </c>
      <c r="AK2" s="36" t="s">
        <v>419</v>
      </c>
      <c r="AL2" s="36" t="s">
        <v>729</v>
      </c>
      <c r="AM2" s="36" t="s">
        <v>416</v>
      </c>
      <c r="AN2" s="36" t="s">
        <v>730</v>
      </c>
      <c r="AO2" s="36" t="s">
        <v>706</v>
      </c>
      <c r="AP2" s="36" t="s">
        <v>731</v>
      </c>
      <c r="AQ2" s="35" t="s">
        <v>420</v>
      </c>
      <c r="AR2" s="35" t="s">
        <v>752</v>
      </c>
      <c r="AS2" s="36"/>
      <c r="AT2" s="36"/>
      <c r="AU2" s="92" t="s">
        <v>786</v>
      </c>
      <c r="AV2" s="92" t="s">
        <v>788</v>
      </c>
      <c r="AW2" s="92" t="s">
        <v>791</v>
      </c>
      <c r="AX2" s="36"/>
      <c r="AY2" s="36"/>
      <c r="AZ2" s="36"/>
      <c r="BA2" s="36"/>
      <c r="BB2" s="36"/>
      <c r="BC2" s="36"/>
      <c r="BD2" s="36"/>
      <c r="BE2" s="36"/>
      <c r="BF2" s="86"/>
      <c r="BG2" s="86"/>
      <c r="BH2" s="86"/>
      <c r="BI2" s="86"/>
      <c r="BJ2" s="86"/>
      <c r="BK2" s="86"/>
      <c r="BL2" s="86"/>
      <c r="BM2" s="86"/>
      <c r="BN2" s="86"/>
      <c r="BO2" s="86"/>
      <c r="BP2" s="86"/>
      <c r="BQ2" s="86"/>
      <c r="BR2" s="86"/>
      <c r="BS2" s="86"/>
      <c r="BT2" s="87"/>
      <c r="BU2" s="87"/>
      <c r="BV2" s="87"/>
      <c r="BW2" s="87"/>
      <c r="BX2" s="87"/>
      <c r="BY2" s="87"/>
      <c r="BZ2" s="87"/>
      <c r="CA2" s="87"/>
      <c r="CB2" s="87"/>
      <c r="CC2" s="87"/>
      <c r="CD2" s="87"/>
      <c r="CE2" s="87"/>
      <c r="CF2" s="87"/>
      <c r="CG2" s="87"/>
      <c r="CH2" s="87"/>
      <c r="CI2" s="87"/>
      <c r="CJ2" s="87"/>
      <c r="CK2" s="87"/>
      <c r="CL2" s="87"/>
      <c r="CM2" s="87"/>
      <c r="CN2" s="87"/>
      <c r="CO2" s="87"/>
      <c r="CP2" s="87"/>
      <c r="CQ2" s="87"/>
      <c r="CR2" s="87"/>
      <c r="CS2" s="87"/>
      <c r="CT2" s="87"/>
      <c r="CU2" s="87"/>
      <c r="CV2" s="87"/>
      <c r="CW2" s="87"/>
      <c r="CX2" s="87"/>
      <c r="CY2" s="87"/>
      <c r="CZ2" s="87"/>
      <c r="DA2" s="87"/>
      <c r="DB2" s="87"/>
      <c r="DC2" s="87"/>
      <c r="DD2" s="87"/>
      <c r="DE2" s="87"/>
      <c r="DF2" s="87"/>
      <c r="DG2" s="87"/>
      <c r="DH2" s="87"/>
      <c r="DI2" s="87"/>
      <c r="DJ2" s="87"/>
      <c r="DK2" s="87"/>
      <c r="DL2" s="87"/>
      <c r="DM2" s="87"/>
      <c r="DN2" s="87"/>
      <c r="DO2" s="87"/>
      <c r="DP2" s="87"/>
      <c r="DQ2" s="87"/>
      <c r="DR2" s="87"/>
      <c r="DS2" s="87"/>
      <c r="DT2" s="87"/>
      <c r="DU2" s="87"/>
      <c r="DV2" s="87"/>
      <c r="DW2" s="87"/>
      <c r="DX2" s="87"/>
      <c r="DY2" s="87"/>
      <c r="DZ2" s="87"/>
      <c r="EA2" s="87"/>
      <c r="EB2" s="87"/>
      <c r="EC2" s="87"/>
      <c r="ED2" s="87"/>
      <c r="EE2" s="87"/>
      <c r="EF2" s="87"/>
      <c r="EG2" s="87"/>
      <c r="EH2" s="87"/>
      <c r="EI2" s="87"/>
      <c r="EJ2" s="87"/>
      <c r="EK2" s="87"/>
      <c r="EL2" s="87"/>
      <c r="EM2" s="87"/>
      <c r="EN2" s="87"/>
      <c r="EO2" s="87"/>
      <c r="EP2" s="87"/>
      <c r="EQ2" s="87"/>
      <c r="ER2" s="87"/>
      <c r="ES2" s="87"/>
      <c r="ET2" s="87"/>
      <c r="EU2" s="87"/>
      <c r="EV2" s="87"/>
      <c r="EW2" s="87"/>
      <c r="EX2" s="87"/>
      <c r="EY2" s="87"/>
      <c r="EZ2" s="87"/>
      <c r="FA2" s="87"/>
      <c r="FB2" s="87"/>
      <c r="FC2" s="87"/>
      <c r="FD2" s="87"/>
      <c r="FE2" s="87"/>
      <c r="FF2" s="87"/>
      <c r="FG2" s="87"/>
      <c r="FH2" s="87"/>
      <c r="FI2" s="87"/>
      <c r="FJ2" s="87"/>
      <c r="FK2" s="87"/>
      <c r="FL2" s="87"/>
      <c r="FM2" s="87"/>
      <c r="FN2" s="87"/>
      <c r="FO2" s="87"/>
      <c r="FP2" s="87"/>
      <c r="FQ2" s="87"/>
      <c r="FR2" s="87"/>
      <c r="FS2" s="87"/>
      <c r="FT2" s="87"/>
      <c r="FU2" s="87"/>
      <c r="FV2" s="87"/>
      <c r="FW2" s="87"/>
      <c r="FX2" s="87"/>
    </row>
    <row r="3" spans="1:180" s="65" customFormat="1" ht="24.95" customHeight="1" x14ac:dyDescent="0.25">
      <c r="A3" s="36" t="s">
        <v>212</v>
      </c>
      <c r="B3" s="36" t="s">
        <v>75</v>
      </c>
      <c r="C3" s="36"/>
      <c r="D3" s="36"/>
      <c r="E3" s="36" t="s">
        <v>98</v>
      </c>
      <c r="F3" s="36" t="s">
        <v>66</v>
      </c>
      <c r="G3" s="36" t="s">
        <v>32</v>
      </c>
      <c r="H3" s="36" t="s">
        <v>29</v>
      </c>
      <c r="I3" s="36"/>
      <c r="J3" s="36"/>
      <c r="K3" s="36" t="s">
        <v>30</v>
      </c>
      <c r="L3" s="36"/>
      <c r="M3" s="36" t="s">
        <v>417</v>
      </c>
      <c r="N3" s="36" t="s">
        <v>31</v>
      </c>
      <c r="O3" s="36">
        <v>1719</v>
      </c>
      <c r="P3" s="36">
        <v>1716</v>
      </c>
      <c r="Q3" s="36">
        <v>1425</v>
      </c>
      <c r="R3" s="36"/>
      <c r="S3" s="36">
        <v>2137</v>
      </c>
      <c r="T3" s="36">
        <v>1850</v>
      </c>
      <c r="U3" s="36">
        <v>4936</v>
      </c>
      <c r="V3" s="36">
        <v>640</v>
      </c>
      <c r="W3" s="36">
        <v>2716</v>
      </c>
      <c r="X3" s="36">
        <v>1260</v>
      </c>
      <c r="Y3" s="36"/>
      <c r="Z3" s="36"/>
      <c r="AA3" s="36" t="s">
        <v>363</v>
      </c>
      <c r="AB3" s="36">
        <v>2230</v>
      </c>
      <c r="AC3" s="36">
        <v>520</v>
      </c>
      <c r="AD3" s="36"/>
      <c r="AE3" s="36"/>
      <c r="AF3" s="36"/>
      <c r="AG3" s="36"/>
      <c r="AH3" s="36">
        <v>4</v>
      </c>
      <c r="AI3" s="36" t="s">
        <v>685</v>
      </c>
      <c r="AJ3" s="36" t="s">
        <v>733</v>
      </c>
      <c r="AK3" s="36" t="s">
        <v>419</v>
      </c>
      <c r="AL3" s="36" t="s">
        <v>734</v>
      </c>
      <c r="AM3" s="36" t="s">
        <v>416</v>
      </c>
      <c r="AN3" s="36"/>
      <c r="AO3" s="36" t="s">
        <v>706</v>
      </c>
      <c r="AP3" s="36" t="s">
        <v>735</v>
      </c>
      <c r="AQ3" s="35" t="s">
        <v>420</v>
      </c>
      <c r="AR3" s="35"/>
      <c r="AS3" s="36"/>
      <c r="AT3" s="36"/>
      <c r="AU3" s="92" t="s">
        <v>786</v>
      </c>
      <c r="AV3" s="92" t="s">
        <v>789</v>
      </c>
      <c r="AW3" s="92" t="s">
        <v>791</v>
      </c>
      <c r="AX3" s="36"/>
      <c r="AY3" s="36"/>
      <c r="AZ3" s="36"/>
      <c r="BA3" s="36"/>
      <c r="BB3" s="36"/>
      <c r="BC3" s="36"/>
      <c r="BD3" s="36"/>
      <c r="BE3" s="36"/>
      <c r="BF3" s="86"/>
      <c r="BG3" s="86"/>
      <c r="BH3" s="86"/>
      <c r="BI3" s="86"/>
      <c r="BJ3" s="86"/>
      <c r="BK3" s="86"/>
      <c r="BL3" s="86"/>
      <c r="BM3" s="86"/>
      <c r="BN3" s="86"/>
      <c r="BO3" s="86"/>
      <c r="BP3" s="86"/>
      <c r="BQ3" s="86"/>
      <c r="BR3" s="86"/>
      <c r="BS3" s="86"/>
      <c r="BT3" s="87"/>
      <c r="BU3" s="87"/>
      <c r="BV3" s="87"/>
      <c r="BW3" s="87"/>
      <c r="BX3" s="87"/>
      <c r="BY3" s="87"/>
      <c r="BZ3" s="87"/>
      <c r="CA3" s="87"/>
      <c r="CB3" s="87"/>
      <c r="CC3" s="87"/>
      <c r="CD3" s="87"/>
      <c r="CE3" s="87"/>
      <c r="CF3" s="87"/>
      <c r="CG3" s="87"/>
      <c r="CH3" s="87"/>
      <c r="CI3" s="87"/>
      <c r="CJ3" s="87"/>
      <c r="CK3" s="87"/>
      <c r="CL3" s="87"/>
      <c r="CM3" s="87"/>
      <c r="CN3" s="87"/>
      <c r="CO3" s="87"/>
      <c r="CP3" s="87"/>
      <c r="CQ3" s="87"/>
      <c r="CR3" s="87"/>
      <c r="CS3" s="87"/>
      <c r="CT3" s="87"/>
      <c r="CU3" s="87"/>
      <c r="CV3" s="87"/>
      <c r="CW3" s="87"/>
      <c r="CX3" s="87"/>
      <c r="CY3" s="87"/>
      <c r="CZ3" s="87"/>
      <c r="DA3" s="87"/>
      <c r="DB3" s="87"/>
      <c r="DC3" s="87"/>
      <c r="DD3" s="87"/>
      <c r="DE3" s="87"/>
      <c r="DF3" s="87"/>
      <c r="DG3" s="87"/>
      <c r="DH3" s="87"/>
      <c r="DI3" s="87"/>
      <c r="DJ3" s="87"/>
      <c r="DK3" s="87"/>
      <c r="DL3" s="87"/>
      <c r="DM3" s="87"/>
      <c r="DN3" s="87"/>
      <c r="DO3" s="87"/>
      <c r="DP3" s="87"/>
      <c r="DQ3" s="87"/>
      <c r="DR3" s="87"/>
      <c r="DS3" s="87"/>
      <c r="DT3" s="87"/>
      <c r="DU3" s="87"/>
      <c r="DV3" s="87"/>
      <c r="DW3" s="87"/>
      <c r="DX3" s="87"/>
      <c r="DY3" s="87"/>
      <c r="DZ3" s="87"/>
      <c r="EA3" s="87"/>
      <c r="EB3" s="87"/>
      <c r="EC3" s="87"/>
      <c r="ED3" s="87"/>
      <c r="EE3" s="87"/>
      <c r="EF3" s="87"/>
      <c r="EG3" s="87"/>
      <c r="EH3" s="87"/>
      <c r="EI3" s="87"/>
      <c r="EJ3" s="87"/>
      <c r="EK3" s="87"/>
      <c r="EL3" s="87"/>
      <c r="EM3" s="87"/>
      <c r="EN3" s="87"/>
      <c r="EO3" s="87"/>
      <c r="EP3" s="87"/>
      <c r="EQ3" s="87"/>
      <c r="ER3" s="87"/>
      <c r="ES3" s="87"/>
      <c r="ET3" s="87"/>
      <c r="EU3" s="87"/>
      <c r="EV3" s="87"/>
      <c r="EW3" s="87"/>
      <c r="EX3" s="87"/>
      <c r="EY3" s="87"/>
      <c r="EZ3" s="87"/>
      <c r="FA3" s="87"/>
      <c r="FB3" s="87"/>
      <c r="FC3" s="87"/>
      <c r="FD3" s="87"/>
      <c r="FE3" s="87"/>
      <c r="FF3" s="87"/>
      <c r="FG3" s="87"/>
      <c r="FH3" s="87"/>
      <c r="FI3" s="87"/>
      <c r="FJ3" s="87"/>
      <c r="FK3" s="87"/>
      <c r="FL3" s="87"/>
      <c r="FM3" s="87"/>
      <c r="FN3" s="87"/>
      <c r="FO3" s="87"/>
      <c r="FP3" s="87"/>
      <c r="FQ3" s="87"/>
      <c r="FR3" s="87"/>
      <c r="FS3" s="87"/>
      <c r="FT3" s="87"/>
      <c r="FU3" s="87"/>
      <c r="FV3" s="87"/>
      <c r="FW3" s="87"/>
      <c r="FX3" s="87"/>
    </row>
    <row r="4" spans="1:180" s="65" customFormat="1" ht="24.95" customHeight="1" x14ac:dyDescent="0.25">
      <c r="A4" s="36" t="s">
        <v>212</v>
      </c>
      <c r="B4" s="36" t="s">
        <v>744</v>
      </c>
      <c r="C4" s="36"/>
      <c r="D4" s="36"/>
      <c r="E4" s="36" t="s">
        <v>98</v>
      </c>
      <c r="F4" s="36" t="s">
        <v>66</v>
      </c>
      <c r="G4" s="36" t="s">
        <v>32</v>
      </c>
      <c r="H4" s="36" t="s">
        <v>29</v>
      </c>
      <c r="I4" s="36"/>
      <c r="J4" s="36"/>
      <c r="K4" s="36" t="s">
        <v>30</v>
      </c>
      <c r="L4" s="36"/>
      <c r="M4" s="36" t="s">
        <v>422</v>
      </c>
      <c r="N4" s="36" t="s">
        <v>31</v>
      </c>
      <c r="O4" s="36">
        <v>1719</v>
      </c>
      <c r="P4" s="36">
        <v>1716</v>
      </c>
      <c r="Q4" s="36">
        <v>1425</v>
      </c>
      <c r="R4" s="36"/>
      <c r="S4" s="36">
        <v>2137</v>
      </c>
      <c r="T4" s="36">
        <v>1850</v>
      </c>
      <c r="U4" s="36">
        <v>4936</v>
      </c>
      <c r="V4" s="36">
        <v>640</v>
      </c>
      <c r="W4" s="36">
        <v>2716</v>
      </c>
      <c r="X4" s="36">
        <v>1260</v>
      </c>
      <c r="Y4" s="36"/>
      <c r="Z4" s="36"/>
      <c r="AA4" s="36" t="s">
        <v>363</v>
      </c>
      <c r="AB4" s="36">
        <v>2230</v>
      </c>
      <c r="AC4" s="36">
        <v>510</v>
      </c>
      <c r="AD4" s="36"/>
      <c r="AE4" s="36"/>
      <c r="AF4" s="36"/>
      <c r="AG4" s="36"/>
      <c r="AH4" s="36">
        <v>4</v>
      </c>
      <c r="AI4" s="36" t="s">
        <v>685</v>
      </c>
      <c r="AJ4" s="36" t="s">
        <v>737</v>
      </c>
      <c r="AK4" s="36" t="s">
        <v>419</v>
      </c>
      <c r="AL4" s="36" t="s">
        <v>738</v>
      </c>
      <c r="AM4" s="36" t="s">
        <v>699</v>
      </c>
      <c r="AN4" s="36" t="s">
        <v>739</v>
      </c>
      <c r="AO4" s="36" t="s">
        <v>707</v>
      </c>
      <c r="AP4" s="36" t="s">
        <v>740</v>
      </c>
      <c r="AQ4" s="35" t="s">
        <v>420</v>
      </c>
      <c r="AR4" s="35" t="s">
        <v>768</v>
      </c>
      <c r="AS4" s="36"/>
      <c r="AT4" s="36"/>
      <c r="AU4" s="92" t="s">
        <v>786</v>
      </c>
      <c r="AV4" s="92" t="s">
        <v>790</v>
      </c>
      <c r="AW4" s="92" t="s">
        <v>791</v>
      </c>
      <c r="AX4" s="36"/>
      <c r="AY4" s="36"/>
      <c r="AZ4" s="36"/>
      <c r="BA4" s="36"/>
      <c r="BB4" s="36"/>
      <c r="BC4" s="36"/>
      <c r="BD4" s="36"/>
      <c r="BE4" s="36"/>
      <c r="BF4" s="86"/>
      <c r="BG4" s="86"/>
      <c r="BH4" s="86"/>
      <c r="BI4" s="86"/>
      <c r="BJ4" s="86"/>
      <c r="BK4" s="86"/>
      <c r="BL4" s="86"/>
      <c r="BM4" s="86"/>
      <c r="BN4" s="86"/>
      <c r="BO4" s="86"/>
      <c r="BP4" s="86"/>
      <c r="BQ4" s="86"/>
      <c r="BR4" s="86"/>
      <c r="BS4" s="86"/>
      <c r="BT4" s="87"/>
      <c r="BU4" s="87"/>
      <c r="BV4" s="87"/>
      <c r="BW4" s="87"/>
      <c r="BX4" s="87"/>
      <c r="BY4" s="87"/>
      <c r="BZ4" s="87"/>
      <c r="CA4" s="87"/>
      <c r="CB4" s="87"/>
      <c r="CC4" s="87"/>
      <c r="CD4" s="87"/>
      <c r="CE4" s="87"/>
      <c r="CF4" s="87"/>
      <c r="CG4" s="87"/>
      <c r="CH4" s="87"/>
      <c r="CI4" s="87"/>
      <c r="CJ4" s="87"/>
      <c r="CK4" s="87"/>
      <c r="CL4" s="87"/>
      <c r="CM4" s="87"/>
      <c r="CN4" s="87"/>
      <c r="CO4" s="87"/>
      <c r="CP4" s="87"/>
      <c r="CQ4" s="87"/>
      <c r="CR4" s="87"/>
      <c r="CS4" s="87"/>
      <c r="CT4" s="87"/>
      <c r="CU4" s="87"/>
      <c r="CV4" s="87"/>
      <c r="CW4" s="87"/>
      <c r="CX4" s="87"/>
      <c r="CY4" s="87"/>
      <c r="CZ4" s="87"/>
      <c r="DA4" s="87"/>
      <c r="DB4" s="87"/>
      <c r="DC4" s="87"/>
      <c r="DD4" s="87"/>
      <c r="DE4" s="87"/>
      <c r="DF4" s="87"/>
      <c r="DG4" s="87"/>
      <c r="DH4" s="87"/>
      <c r="DI4" s="87"/>
      <c r="DJ4" s="87"/>
      <c r="DK4" s="87"/>
      <c r="DL4" s="87"/>
      <c r="DM4" s="87"/>
      <c r="DN4" s="87"/>
      <c r="DO4" s="87"/>
      <c r="DP4" s="87"/>
      <c r="DQ4" s="87"/>
      <c r="DR4" s="87"/>
      <c r="DS4" s="87"/>
      <c r="DT4" s="87"/>
      <c r="DU4" s="87"/>
      <c r="DV4" s="87"/>
      <c r="DW4" s="87"/>
      <c r="DX4" s="87"/>
      <c r="DY4" s="87"/>
      <c r="DZ4" s="87"/>
      <c r="EA4" s="87"/>
      <c r="EB4" s="87"/>
      <c r="EC4" s="87"/>
      <c r="ED4" s="87"/>
      <c r="EE4" s="87"/>
      <c r="EF4" s="87"/>
      <c r="EG4" s="87"/>
      <c r="EH4" s="87"/>
      <c r="EI4" s="87"/>
      <c r="EJ4" s="87"/>
      <c r="EK4" s="87"/>
      <c r="EL4" s="87"/>
      <c r="EM4" s="87"/>
      <c r="EN4" s="87"/>
      <c r="EO4" s="87"/>
      <c r="EP4" s="87"/>
      <c r="EQ4" s="87"/>
      <c r="ER4" s="87"/>
      <c r="ES4" s="87"/>
      <c r="ET4" s="87"/>
      <c r="EU4" s="87"/>
      <c r="EV4" s="87"/>
      <c r="EW4" s="87"/>
      <c r="EX4" s="87"/>
      <c r="EY4" s="87"/>
      <c r="EZ4" s="87"/>
      <c r="FA4" s="87"/>
      <c r="FB4" s="87"/>
      <c r="FC4" s="87"/>
      <c r="FD4" s="87"/>
      <c r="FE4" s="87"/>
      <c r="FF4" s="87"/>
      <c r="FG4" s="87"/>
      <c r="FH4" s="87"/>
      <c r="FI4" s="87"/>
      <c r="FJ4" s="87"/>
      <c r="FK4" s="87"/>
      <c r="FL4" s="87"/>
      <c r="FM4" s="87"/>
      <c r="FN4" s="87"/>
      <c r="FO4" s="87"/>
      <c r="FP4" s="87"/>
      <c r="FQ4" s="87"/>
      <c r="FR4" s="87"/>
      <c r="FS4" s="87"/>
      <c r="FT4" s="87"/>
      <c r="FU4" s="87"/>
      <c r="FV4" s="87"/>
      <c r="FW4" s="87"/>
      <c r="FX4" s="87"/>
    </row>
    <row r="5" spans="1:180" s="65" customFormat="1" ht="24.95" customHeight="1" x14ac:dyDescent="0.25">
      <c r="A5" s="35" t="s">
        <v>212</v>
      </c>
      <c r="B5" s="36" t="s">
        <v>76</v>
      </c>
      <c r="C5" s="36"/>
      <c r="D5" s="35"/>
      <c r="E5" s="35" t="s">
        <v>34</v>
      </c>
      <c r="F5" s="35" t="s">
        <v>35</v>
      </c>
      <c r="G5" s="35" t="s">
        <v>89</v>
      </c>
      <c r="H5" s="35" t="s">
        <v>29</v>
      </c>
      <c r="I5" s="35" t="s">
        <v>7</v>
      </c>
      <c r="J5" s="35"/>
      <c r="K5" s="35" t="s">
        <v>30</v>
      </c>
      <c r="L5" s="35"/>
      <c r="M5" s="35" t="s">
        <v>211</v>
      </c>
      <c r="N5" s="35" t="s">
        <v>36</v>
      </c>
      <c r="O5" s="35">
        <v>3224</v>
      </c>
      <c r="P5" s="35">
        <v>1904</v>
      </c>
      <c r="Q5" s="35">
        <v>1950</v>
      </c>
      <c r="R5" s="35"/>
      <c r="S5" s="35">
        <v>2942</v>
      </c>
      <c r="T5" s="35">
        <v>2050</v>
      </c>
      <c r="U5" s="35">
        <v>6124</v>
      </c>
      <c r="V5" s="35">
        <v>900</v>
      </c>
      <c r="W5" s="35">
        <v>3450</v>
      </c>
      <c r="X5" s="35">
        <v>1617</v>
      </c>
      <c r="Y5" s="35"/>
      <c r="Z5" s="35">
        <v>5</v>
      </c>
      <c r="AA5" s="35" t="s">
        <v>37</v>
      </c>
      <c r="AB5" s="35">
        <v>3500</v>
      </c>
      <c r="AC5" s="35">
        <v>500</v>
      </c>
      <c r="AD5" s="35"/>
      <c r="AE5" s="35"/>
      <c r="AF5" s="35"/>
      <c r="AG5" s="35"/>
      <c r="AH5" s="35">
        <v>12</v>
      </c>
      <c r="AI5" s="35" t="s">
        <v>694</v>
      </c>
      <c r="AJ5" s="35"/>
      <c r="AK5" s="35" t="s">
        <v>241</v>
      </c>
      <c r="AL5" s="35"/>
      <c r="AM5" s="35" t="s">
        <v>418</v>
      </c>
      <c r="AN5" s="35"/>
      <c r="AO5" s="35" t="s">
        <v>102</v>
      </c>
      <c r="AP5" s="35"/>
      <c r="AQ5" s="35" t="s">
        <v>173</v>
      </c>
      <c r="AR5" s="35"/>
      <c r="AS5" s="35" t="s">
        <v>695</v>
      </c>
      <c r="AT5" s="36"/>
      <c r="AU5" s="92" t="s">
        <v>787</v>
      </c>
      <c r="AV5" s="92" t="s">
        <v>788</v>
      </c>
      <c r="AW5" s="92" t="s">
        <v>791</v>
      </c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88" t="e">
        <f>IF(CONCATENATE(A5,B5,C5,D5,E5,F5,G5,H5,I5,J5,K5,L5,M5,N5,O5,P5,Q5,R5,S5,T5,U5,V5,W5,X5,Y5,Z5,AA5,AB5,AC5,AD5,AE5,AF5,AG5,AH5,AI5,AK5,AM5,AO5,AQ5,AS5,#REF!,AX5,AY5,AZ5,BA5,BB5,BC5,BD5,BE5,BF5,BG5,BH5,BI5,BJ5,BK5,BL5,BM5,BN5,BO5,BP5,BQ5,BR5,BS5)=(CONCATENATE([1]FS_referentiel_produits_std!A8,[1]FS_referentiel_produits_std!B8,[1]FS_referentiel_produits_std!C8,[1]FS_referentiel_produits_std!D8,[1]FS_referentiel_produits_std!E8,[1]FS_referentiel_produits_std!F8,[1]FS_referentiel_produits_std!G8,[1]FS_referentiel_produits_std!H8,[1]FS_referentiel_produits_std!I8,[1]FS_referentiel_produits_std!J8,[1]FS_referentiel_produits_std!K8,[1]FS_referentiel_produits_std!L8,[1]FS_referentiel_produits_std!M8,[1]FS_referentiel_produits_std!N8,[1]FS_referentiel_produits_std!O8,[1]FS_referentiel_produits_std!P8,[1]FS_referentiel_produits_std!Q8,[1]FS_referentiel_produits_std!R8,[1]FS_referentiel_produits_std!S8,[1]FS_referentiel_produits_std!T8,[1]FS_referentiel_produits_std!U8,[1]FS_referentiel_produits_std!V8,[1]FS_referentiel_produits_std!W8,[1]FS_referentiel_produits_std!X8,[1]FS_referentiel_produits_std!Y8,[1]FS_referentiel_produits_std!Z8,[1]FS_referentiel_produits_std!AA8,[1]FS_referentiel_produits_std!AB8,[1]FS_referentiel_produits_std!AC8,[1]FS_referentiel_produits_std!AD8,[1]FS_referentiel_produits_std!AE8,[1]FS_referentiel_produits_std!AF8,[1]FS_referentiel_produits_std!AG8,[1]FS_referentiel_produits_std!AH8,[1]FS_referentiel_produits_std!AI8,[1]FS_referentiel_produits_std!AJ8,[1]FS_referentiel_produits_std!AK8,[1]FS_referentiel_produits_std!AL8,[1]FS_referentiel_produits_std!AM8,[1]FS_referentiel_produits_std!AN8,[1]FS_referentiel_produits_std!AO8,[1]FS_referentiel_produits_std!AP8,[1]FS_referentiel_produits_std!AQ8,[1]FS_referentiel_produits_std!AR8,[1]FS_referentiel_produits_std!AS8,[1]FS_referentiel_produits_std!AT8,[1]FS_referentiel_produits_std!AU8,[1]FS_referentiel_produits_std!AV8,[1]FS_referentiel_produits_std!AW8,[1]FS_referentiel_produits_std!AX8,[1]FS_referentiel_produits_std!AY8,[1]FS_referentiel_produits_std!AZ8,[1]FS_referentiel_produits_std!BA8,[1]FS_referentiel_produits_std!BB8,[1]FS_referentiel_produits_std!BC8,[1]FS_referentiel_produits_std!BD8,[1]FS_referentiel_produits_std!BE8,[1]FS_referentiel_produits_std!BF8,[1]FS_referentiel_produits_std!BG8,[1]FS_referentiel_produits_std!BH8,[1]FS_referentiel_produits_std!BI8,[1]FS_referentiel_produits_std!BJ8,[1]FS_referentiel_produits_std!BK8)),0,1)</f>
        <v>#REF!</v>
      </c>
    </row>
    <row r="6" spans="1:180" s="65" customFormat="1" ht="24.95" customHeight="1" x14ac:dyDescent="0.25">
      <c r="A6" s="35" t="s">
        <v>212</v>
      </c>
      <c r="B6" s="36" t="s">
        <v>75</v>
      </c>
      <c r="C6" s="36"/>
      <c r="D6" s="35"/>
      <c r="E6" s="35" t="s">
        <v>34</v>
      </c>
      <c r="F6" s="35" t="s">
        <v>35</v>
      </c>
      <c r="G6" s="35" t="s">
        <v>89</v>
      </c>
      <c r="H6" s="35" t="s">
        <v>29</v>
      </c>
      <c r="I6" s="35" t="s">
        <v>7</v>
      </c>
      <c r="J6" s="35"/>
      <c r="K6" s="35" t="s">
        <v>30</v>
      </c>
      <c r="L6" s="35"/>
      <c r="M6" s="35" t="s">
        <v>210</v>
      </c>
      <c r="N6" s="35" t="s">
        <v>36</v>
      </c>
      <c r="O6" s="35">
        <v>3224</v>
      </c>
      <c r="P6" s="35">
        <v>1904</v>
      </c>
      <c r="Q6" s="35">
        <v>1950</v>
      </c>
      <c r="R6" s="35"/>
      <c r="S6" s="35">
        <v>2942</v>
      </c>
      <c r="T6" s="35">
        <v>2050</v>
      </c>
      <c r="U6" s="35">
        <v>6124</v>
      </c>
      <c r="V6" s="35">
        <v>900</v>
      </c>
      <c r="W6" s="35">
        <v>3450</v>
      </c>
      <c r="X6" s="35">
        <v>1617</v>
      </c>
      <c r="Y6" s="35"/>
      <c r="Z6" s="35">
        <v>5</v>
      </c>
      <c r="AA6" s="35" t="s">
        <v>37</v>
      </c>
      <c r="AB6" s="35">
        <v>3500</v>
      </c>
      <c r="AC6" s="35">
        <v>500</v>
      </c>
      <c r="AD6" s="35"/>
      <c r="AE6" s="35"/>
      <c r="AF6" s="35"/>
      <c r="AG6" s="35"/>
      <c r="AH6" s="35">
        <v>12</v>
      </c>
      <c r="AI6" s="35" t="s">
        <v>694</v>
      </c>
      <c r="AJ6" s="36" t="s">
        <v>742</v>
      </c>
      <c r="AK6" s="35" t="s">
        <v>241</v>
      </c>
      <c r="AL6" s="35" t="s">
        <v>754</v>
      </c>
      <c r="AM6" s="35" t="s">
        <v>418</v>
      </c>
      <c r="AN6" s="35"/>
      <c r="AO6" s="35" t="s">
        <v>102</v>
      </c>
      <c r="AP6" s="35" t="s">
        <v>702</v>
      </c>
      <c r="AQ6" s="35" t="s">
        <v>173</v>
      </c>
      <c r="AR6" s="35" t="s">
        <v>753</v>
      </c>
      <c r="AS6" s="35" t="s">
        <v>695</v>
      </c>
      <c r="AT6" s="35"/>
      <c r="AU6" s="92" t="s">
        <v>787</v>
      </c>
      <c r="AV6" s="92" t="s">
        <v>789</v>
      </c>
      <c r="AW6" s="92" t="s">
        <v>791</v>
      </c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88">
        <f>IF(CONCATENATE(A6,B6,C6,D6,E6,F6,G6,H6,I6,J6,K6,L6,M6,N6,O6,P6,Q6,R6,S6,T6,U6,V6,W6,X6,Y6,Z6,AA6,AB6,AC6,AD6,AE6,AF6,AG6,AH6,AI6,AK6,AM6,AO6,AQ6,AS6,AU4,AX6,AY6,AZ6,BA6,BB6,BC6,BD6,BE6,BF6,BG6,BH6,BI6,BJ6,BK6,BL6,BM6,BN6,BO6,BP6,BQ6,BR6,BS6)=(CONCATENATE([1]FS_referentiel_produits_std!A10,[1]FS_referentiel_produits_std!B10,[1]FS_referentiel_produits_std!C10,[1]FS_referentiel_produits_std!D10,[1]FS_referentiel_produits_std!E10,[1]FS_referentiel_produits_std!F10,[1]FS_referentiel_produits_std!G10,[1]FS_referentiel_produits_std!H10,[1]FS_referentiel_produits_std!I10,[1]FS_referentiel_produits_std!J10,[1]FS_referentiel_produits_std!K10,[1]FS_referentiel_produits_std!L10,[1]FS_referentiel_produits_std!M10,[1]FS_referentiel_produits_std!N10,[1]FS_referentiel_produits_std!O10,[1]FS_referentiel_produits_std!P10,[1]FS_referentiel_produits_std!Q10,[1]FS_referentiel_produits_std!R10,[1]FS_referentiel_produits_std!S10,[1]FS_referentiel_produits_std!T10,[1]FS_referentiel_produits_std!U10,[1]FS_referentiel_produits_std!V10,[1]FS_referentiel_produits_std!W10,[1]FS_referentiel_produits_std!X10,[1]FS_referentiel_produits_std!Y10,[1]FS_referentiel_produits_std!Z10,[1]FS_referentiel_produits_std!AA10,[1]FS_referentiel_produits_std!AB10,[1]FS_referentiel_produits_std!AC10,[1]FS_referentiel_produits_std!AD10,[1]FS_referentiel_produits_std!AE10,[1]FS_referentiel_produits_std!AF10,[1]FS_referentiel_produits_std!AG10,[1]FS_referentiel_produits_std!AH10,[1]FS_referentiel_produits_std!AI10,[1]FS_referentiel_produits_std!AJ10,[1]FS_referentiel_produits_std!AK10,[1]FS_referentiel_produits_std!AL10,[1]FS_referentiel_produits_std!AM10,[1]FS_referentiel_produits_std!AN10,[1]FS_referentiel_produits_std!AO10,[1]FS_referentiel_produits_std!AP10,[1]FS_referentiel_produits_std!AQ10,[1]FS_referentiel_produits_std!AR10,[1]FS_referentiel_produits_std!AS10,[1]FS_referentiel_produits_std!AT10,[1]FS_referentiel_produits_std!AU10,[1]FS_referentiel_produits_std!AV10,[1]FS_referentiel_produits_std!AW10,[1]FS_referentiel_produits_std!AX10,[1]FS_referentiel_produits_std!AY10,[1]FS_referentiel_produits_std!AZ10,[1]FS_referentiel_produits_std!BA10,[1]FS_referentiel_produits_std!BB10,[1]FS_referentiel_produits_std!BC10,[1]FS_referentiel_produits_std!BD10,[1]FS_referentiel_produits_std!BE10,[1]FS_referentiel_produits_std!BF10,[1]FS_referentiel_produits_std!BG10,[1]FS_referentiel_produits_std!BH10,[1]FS_referentiel_produits_std!BI10,[1]FS_referentiel_produits_std!BJ10,[1]FS_referentiel_produits_std!BK10)),0,1)</f>
        <v>1</v>
      </c>
    </row>
    <row r="7" spans="1:180" s="65" customFormat="1" ht="24.95" customHeight="1" x14ac:dyDescent="0.25">
      <c r="A7" s="35" t="s">
        <v>212</v>
      </c>
      <c r="B7" s="36" t="s">
        <v>75</v>
      </c>
      <c r="C7" s="36"/>
      <c r="D7" s="35"/>
      <c r="E7" s="35" t="s">
        <v>34</v>
      </c>
      <c r="F7" s="35" t="s">
        <v>35</v>
      </c>
      <c r="G7" s="35" t="s">
        <v>89</v>
      </c>
      <c r="H7" s="35" t="s">
        <v>29</v>
      </c>
      <c r="I7" s="35" t="s">
        <v>7</v>
      </c>
      <c r="J7" s="35"/>
      <c r="K7" s="35" t="s">
        <v>30</v>
      </c>
      <c r="L7" s="35"/>
      <c r="M7" s="35" t="s">
        <v>726</v>
      </c>
      <c r="N7" s="35" t="s">
        <v>36</v>
      </c>
      <c r="O7" s="35">
        <v>3224</v>
      </c>
      <c r="P7" s="35">
        <v>1904</v>
      </c>
      <c r="Q7" s="35">
        <v>1950</v>
      </c>
      <c r="R7" s="35"/>
      <c r="S7" s="35">
        <v>2942</v>
      </c>
      <c r="T7" s="35">
        <v>2050</v>
      </c>
      <c r="U7" s="35">
        <v>6124</v>
      </c>
      <c r="V7" s="35">
        <v>900</v>
      </c>
      <c r="W7" s="35">
        <v>3450</v>
      </c>
      <c r="X7" s="35">
        <v>1617</v>
      </c>
      <c r="Y7" s="35"/>
      <c r="Z7" s="35">
        <v>5</v>
      </c>
      <c r="AA7" s="35" t="s">
        <v>37</v>
      </c>
      <c r="AB7" s="35">
        <v>3500</v>
      </c>
      <c r="AC7" s="35">
        <v>500</v>
      </c>
      <c r="AD7" s="35"/>
      <c r="AE7" s="35"/>
      <c r="AF7" s="35"/>
      <c r="AG7" s="35"/>
      <c r="AH7" s="35">
        <v>12</v>
      </c>
      <c r="AI7" s="35" t="s">
        <v>759</v>
      </c>
      <c r="AJ7" s="36" t="s">
        <v>776</v>
      </c>
      <c r="AK7" s="35" t="s">
        <v>758</v>
      </c>
      <c r="AL7" s="35" t="s">
        <v>756</v>
      </c>
      <c r="AM7" s="35" t="s">
        <v>745</v>
      </c>
      <c r="AN7" s="35" t="s">
        <v>757</v>
      </c>
      <c r="AO7" s="35" t="s">
        <v>746</v>
      </c>
      <c r="AP7" s="35" t="s">
        <v>749</v>
      </c>
      <c r="AQ7" s="35" t="s">
        <v>747</v>
      </c>
      <c r="AR7" s="35" t="s">
        <v>750</v>
      </c>
      <c r="AS7" s="35" t="s">
        <v>748</v>
      </c>
      <c r="AT7" s="36" t="s">
        <v>751</v>
      </c>
      <c r="AU7" s="92" t="s">
        <v>787</v>
      </c>
      <c r="AV7" s="92" t="s">
        <v>790</v>
      </c>
      <c r="AW7" s="92" t="s">
        <v>791</v>
      </c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88" t="e">
        <f>IF(CONCATENATE(A7,B7,C7,D7,E7,F7,G7,H7,I7,J7,K7,L7,M7,N7,O7,P7,Q7,R7,S7,T7,U7,V7,W7,X7,Y7,Z7,AA7,AB7,AC7,AD7,AE7,AF7,AG7,AH7,AI7,AK7,AM7,AO7,AQ7,AS7,#REF!,AX7,AY7,AZ7,BA7,BB7,BC7,BD7,BE7,BF7,BG7,BH7,BI7,BJ7,BK7,BL7,BM7,BN7,BO7,BP7,BQ7,BR7,BS7)=(CONCATENATE([1]FS_referentiel_produits_std!A12,[1]FS_referentiel_produits_std!B12,[1]FS_referentiel_produits_std!C12,[1]FS_referentiel_produits_std!D12,[1]FS_referentiel_produits_std!E12,[1]FS_referentiel_produits_std!F12,[1]FS_referentiel_produits_std!G12,[1]FS_referentiel_produits_std!H12,[1]FS_referentiel_produits_std!I12,[1]FS_referentiel_produits_std!J12,[1]FS_referentiel_produits_std!K12,[1]FS_referentiel_produits_std!L12,[1]FS_referentiel_produits_std!M12,[1]FS_referentiel_produits_std!N12,[1]FS_referentiel_produits_std!O12,[1]FS_referentiel_produits_std!P12,[1]FS_referentiel_produits_std!Q12,[1]FS_referentiel_produits_std!R12,[1]FS_referentiel_produits_std!S12,[1]FS_referentiel_produits_std!T12,[1]FS_referentiel_produits_std!U12,[1]FS_referentiel_produits_std!V12,[1]FS_referentiel_produits_std!W12,[1]FS_referentiel_produits_std!X12,[1]FS_referentiel_produits_std!Y12,[1]FS_referentiel_produits_std!Z12,[1]FS_referentiel_produits_std!AA12,[1]FS_referentiel_produits_std!AB12,[1]FS_referentiel_produits_std!AC12,[1]FS_referentiel_produits_std!AD12,[1]FS_referentiel_produits_std!AE12,[1]FS_referentiel_produits_std!AF12,[1]FS_referentiel_produits_std!AG12,[1]FS_referentiel_produits_std!AH12,[1]FS_referentiel_produits_std!AI12,[1]FS_referentiel_produits_std!AJ12,[1]FS_referentiel_produits_std!AK12,[1]FS_referentiel_produits_std!AL12,[1]FS_referentiel_produits_std!AM12,[1]FS_referentiel_produits_std!AN12,[1]FS_referentiel_produits_std!AO12,[1]FS_referentiel_produits_std!AP12,[1]FS_referentiel_produits_std!AQ12,[1]FS_referentiel_produits_std!AR12,[1]FS_referentiel_produits_std!AS12,[1]FS_referentiel_produits_std!AT12,[1]FS_referentiel_produits_std!AU12,[1]FS_referentiel_produits_std!AV12,[1]FS_referentiel_produits_std!AW12,[1]FS_referentiel_produits_std!AX12,[1]FS_referentiel_produits_std!AY12,[1]FS_referentiel_produits_std!AZ12,[1]FS_referentiel_produits_std!BA12,[1]FS_referentiel_produits_std!BB12,[1]FS_referentiel_produits_std!BC12,[1]FS_referentiel_produits_std!BD12,[1]FS_referentiel_produits_std!BE12,[1]FS_referentiel_produits_std!BF12,[1]FS_referentiel_produits_std!BG12,[1]FS_referentiel_produits_std!BH12,[1]FS_referentiel_produits_std!BI12,[1]FS_referentiel_produits_std!BJ12,[1]FS_referentiel_produits_std!BK12)),0,1)</f>
        <v>#REF!</v>
      </c>
    </row>
  </sheetData>
  <autoFilter ref="A1:BS7" xr:uid="{00000000-0001-0000-0100-000000000000}"/>
  <conditionalFormatting sqref="BT5:BT7">
    <cfRule type="cellIs" dxfId="54" priority="1" operator="equal">
      <formula>0</formula>
    </cfRule>
    <cfRule type="cellIs" dxfId="53" priority="2" operator="greaterThan">
      <formula>0</formula>
    </cfRule>
  </conditionalFormatting>
  <hyperlinks>
    <hyperlink ref="AU2" r:id="rId1" xr:uid="{E61E4686-4671-45BE-B36C-B5646D17139E}"/>
    <hyperlink ref="AU3" r:id="rId2" xr:uid="{0E039D1B-DDBA-450F-9C5B-67FB31625B88}"/>
    <hyperlink ref="AU4" r:id="rId3" xr:uid="{AC6BEAAB-4A99-4709-9288-59450B575647}"/>
    <hyperlink ref="AU5" r:id="rId4" xr:uid="{B41274B7-1BC8-4D08-860A-5B8C2C7B9719}"/>
    <hyperlink ref="AU6" r:id="rId5" xr:uid="{0F65C62C-BFE8-412E-AF12-FDC0CA53758F}"/>
    <hyperlink ref="AU7" r:id="rId6" xr:uid="{3EA90EFD-7C34-4026-B45A-53AE8F354BFF}"/>
    <hyperlink ref="AV2" r:id="rId7" xr:uid="{912D2A64-9F88-4E4E-AD8A-F31DCA3B4D7B}"/>
    <hyperlink ref="AV5" r:id="rId8" xr:uid="{98D9D90E-D756-4248-AB7C-B7995D5D7016}"/>
    <hyperlink ref="AV6" r:id="rId9" xr:uid="{833B5180-7B34-4E77-BD59-8F9A55F476DE}"/>
    <hyperlink ref="AV3" r:id="rId10" xr:uid="{CC41619D-8241-42CE-B23A-BB91E9B130A8}"/>
    <hyperlink ref="AV7" r:id="rId11" xr:uid="{488A32F5-2102-4765-B60D-F90BB352EA5E}"/>
    <hyperlink ref="AV4" r:id="rId12" xr:uid="{A31E9B7C-370F-44A5-9ED9-1997BB5B3986}"/>
    <hyperlink ref="AW2" r:id="rId13" xr:uid="{BF45E576-EED9-410F-870E-777F2C2B2D99}"/>
    <hyperlink ref="AW3" r:id="rId14" xr:uid="{6522C93C-8BE2-4B40-8708-56B3DA26247B}"/>
    <hyperlink ref="AW4" r:id="rId15" xr:uid="{7E4EEDB6-B203-464A-B3B6-1B79F42EDC9F}"/>
    <hyperlink ref="AW5" r:id="rId16" xr:uid="{A7486ADD-86A4-4828-B4F6-724C0C7DAED4}"/>
    <hyperlink ref="AW6" r:id="rId17" xr:uid="{943BC0B1-C27E-4B98-8EF1-3040E4C96574}"/>
    <hyperlink ref="AW7" r:id="rId18" xr:uid="{C8D185A9-10DE-438B-A33C-C19DD200861B}"/>
  </hyperlinks>
  <pageMargins left="0.70866141732283472" right="0.70866141732283472" top="0.74803149606299213" bottom="0.74803149606299213" header="0.31496062992125984" footer="0.31496062992125984"/>
  <pageSetup paperSize="8" fitToHeight="2" orientation="portrait" r:id="rId1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B72F8-77DD-4122-B859-8DBE04F47333}">
  <dimension ref="A1:AT10"/>
  <sheetViews>
    <sheetView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4" sqref="D24"/>
    </sheetView>
  </sheetViews>
  <sheetFormatPr baseColWidth="10" defaultColWidth="11.42578125" defaultRowHeight="11.25" outlineLevelCol="1" x14ac:dyDescent="0.25"/>
  <cols>
    <col min="1" max="1" width="65.140625" style="69" bestFit="1" customWidth="1"/>
    <col min="2" max="2" width="11.5703125" style="66" customWidth="1"/>
    <col min="3" max="3" width="20.7109375" style="67" customWidth="1"/>
    <col min="4" max="7" width="20.7109375" style="67" customWidth="1" outlineLevel="1"/>
    <col min="8" max="8" width="20.7109375" style="67" customWidth="1"/>
    <col min="9" max="9" width="28.28515625" style="67" customWidth="1"/>
    <col min="10" max="10" width="20.7109375" style="67" customWidth="1" outlineLevel="1"/>
    <col min="11" max="11" width="30.28515625" style="67" customWidth="1" outlineLevel="1"/>
    <col min="12" max="12" width="20.7109375" style="67" customWidth="1" outlineLevel="1"/>
    <col min="13" max="13" width="20.7109375" style="68" customWidth="1" outlineLevel="1"/>
    <col min="14" max="16" width="20.7109375" style="67" customWidth="1" outlineLevel="1"/>
    <col min="17" max="17" width="20.7109375" style="67" customWidth="1" outlineLevel="1" collapsed="1"/>
    <col min="18" max="20" width="20.7109375" style="67" customWidth="1" outlineLevel="1"/>
    <col min="21" max="21" width="30.140625" style="67" customWidth="1" outlineLevel="1"/>
    <col min="22" max="23" width="20.7109375" style="67" customWidth="1" outlineLevel="1"/>
    <col min="24" max="24" width="20.7109375" style="67" customWidth="1"/>
    <col min="25" max="28" width="20.7109375" style="67" customWidth="1" outlineLevel="1"/>
    <col min="29" max="29" width="30.140625" style="67" customWidth="1"/>
    <col min="30" max="30" width="20.7109375" style="67" customWidth="1" outlineLevel="1"/>
    <col min="31" max="31" width="20.7109375" style="68" customWidth="1" outlineLevel="1"/>
    <col min="32" max="32" width="20.7109375" style="67" customWidth="1" outlineLevel="1"/>
    <col min="33" max="33" width="20.7109375" style="67" customWidth="1" outlineLevel="1" collapsed="1"/>
    <col min="34" max="34" width="20.7109375" style="68" customWidth="1"/>
    <col min="35" max="44" width="20.7109375" style="67" customWidth="1" outlineLevel="1"/>
    <col min="45" max="45" width="20.7109375" style="67" customWidth="1" outlineLevel="1" collapsed="1"/>
    <col min="46" max="46" width="20.7109375" style="68" customWidth="1"/>
    <col min="47" max="16384" width="11.42578125" style="66"/>
  </cols>
  <sheetData>
    <row r="1" spans="1:46" s="67" customFormat="1" ht="33.75" x14ac:dyDescent="0.25">
      <c r="A1" s="70" t="s">
        <v>22</v>
      </c>
      <c r="B1" s="70" t="s">
        <v>481</v>
      </c>
      <c r="C1" s="70" t="s">
        <v>480</v>
      </c>
      <c r="D1" s="70" t="s">
        <v>432</v>
      </c>
      <c r="E1" s="70" t="s">
        <v>479</v>
      </c>
      <c r="F1" s="70" t="s">
        <v>478</v>
      </c>
      <c r="G1" s="70" t="s">
        <v>477</v>
      </c>
      <c r="H1" s="70" t="s">
        <v>476</v>
      </c>
      <c r="I1" s="70" t="s">
        <v>444</v>
      </c>
      <c r="J1" s="70" t="s">
        <v>431</v>
      </c>
      <c r="K1" s="70" t="s">
        <v>475</v>
      </c>
      <c r="L1" s="70" t="s">
        <v>426</v>
      </c>
      <c r="M1" s="70" t="s">
        <v>425</v>
      </c>
      <c r="N1" s="70" t="s">
        <v>474</v>
      </c>
      <c r="O1" s="70" t="s">
        <v>473</v>
      </c>
      <c r="P1" s="70" t="s">
        <v>472</v>
      </c>
      <c r="Q1" s="70" t="s">
        <v>471</v>
      </c>
      <c r="R1" s="70" t="s">
        <v>470</v>
      </c>
      <c r="S1" s="70" t="s">
        <v>469</v>
      </c>
      <c r="T1" s="70" t="s">
        <v>468</v>
      </c>
      <c r="U1" s="70" t="s">
        <v>438</v>
      </c>
      <c r="V1" s="70" t="s">
        <v>434</v>
      </c>
      <c r="W1" s="70" t="s">
        <v>440</v>
      </c>
      <c r="X1" s="70" t="s">
        <v>467</v>
      </c>
      <c r="Y1" s="70" t="s">
        <v>466</v>
      </c>
      <c r="Z1" s="73" t="s">
        <v>465</v>
      </c>
      <c r="AA1" s="73" t="s">
        <v>464</v>
      </c>
      <c r="AB1" s="71" t="s">
        <v>463</v>
      </c>
      <c r="AC1" s="70" t="s">
        <v>436</v>
      </c>
      <c r="AD1" s="70" t="s">
        <v>462</v>
      </c>
      <c r="AE1" s="73" t="s">
        <v>461</v>
      </c>
      <c r="AF1" s="73" t="s">
        <v>460</v>
      </c>
      <c r="AG1" s="73" t="s">
        <v>442</v>
      </c>
      <c r="AH1" s="73" t="s">
        <v>459</v>
      </c>
      <c r="AI1" s="73" t="s">
        <v>458</v>
      </c>
      <c r="AJ1" s="71" t="s">
        <v>608</v>
      </c>
      <c r="AK1" s="71" t="s">
        <v>457</v>
      </c>
      <c r="AL1" s="71" t="s">
        <v>456</v>
      </c>
      <c r="AM1" s="71" t="s">
        <v>455</v>
      </c>
      <c r="AN1" s="71" t="s">
        <v>454</v>
      </c>
      <c r="AO1" s="71" t="s">
        <v>453</v>
      </c>
      <c r="AP1" s="71" t="s">
        <v>452</v>
      </c>
      <c r="AQ1" s="71" t="s">
        <v>451</v>
      </c>
      <c r="AR1" s="71" t="s">
        <v>450</v>
      </c>
      <c r="AS1" s="71" t="s">
        <v>449</v>
      </c>
      <c r="AT1" s="73" t="s">
        <v>430</v>
      </c>
    </row>
    <row r="2" spans="1:46" s="67" customFormat="1" x14ac:dyDescent="0.25">
      <c r="A2" s="64" t="s">
        <v>221</v>
      </c>
      <c r="B2" s="64" t="s">
        <v>482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72"/>
      <c r="AA2" s="64"/>
      <c r="AB2" s="64"/>
      <c r="AC2" s="64"/>
      <c r="AD2" s="72"/>
      <c r="AE2" s="72"/>
      <c r="AF2" s="72"/>
      <c r="AG2" s="72"/>
      <c r="AH2" s="72"/>
      <c r="AI2" s="72"/>
      <c r="AJ2" s="72"/>
      <c r="AK2" s="72"/>
      <c r="AL2" s="72"/>
    </row>
    <row r="3" spans="1:46" ht="33.75" x14ac:dyDescent="0.25">
      <c r="A3" s="64" t="s">
        <v>685</v>
      </c>
      <c r="B3" s="64" t="s">
        <v>33</v>
      </c>
      <c r="C3" s="64" t="s">
        <v>439</v>
      </c>
      <c r="D3" s="64"/>
      <c r="E3" s="64" t="s">
        <v>428</v>
      </c>
      <c r="F3" s="64" t="s">
        <v>427</v>
      </c>
      <c r="G3" s="64" t="s">
        <v>435</v>
      </c>
      <c r="H3" s="64" t="s">
        <v>447</v>
      </c>
      <c r="I3" s="64" t="s">
        <v>683</v>
      </c>
      <c r="J3" s="64"/>
      <c r="K3" s="64" t="s">
        <v>446</v>
      </c>
      <c r="L3" s="64" t="s">
        <v>426</v>
      </c>
      <c r="M3" s="70" t="s">
        <v>425</v>
      </c>
      <c r="N3" s="64" t="s">
        <v>424</v>
      </c>
      <c r="O3" s="64"/>
      <c r="P3" s="64" t="s">
        <v>445</v>
      </c>
      <c r="Q3" s="64"/>
      <c r="R3" s="64"/>
      <c r="S3" s="64"/>
      <c r="T3" s="64"/>
      <c r="U3" s="64" t="s">
        <v>423</v>
      </c>
      <c r="V3" s="64"/>
      <c r="W3" s="64"/>
      <c r="X3" s="64"/>
      <c r="Y3" s="64"/>
      <c r="Z3" s="64"/>
      <c r="AA3" s="64"/>
      <c r="AB3" s="64"/>
      <c r="AC3" s="64"/>
      <c r="AD3" s="64"/>
      <c r="AE3" s="64" t="s">
        <v>684</v>
      </c>
      <c r="AF3" s="64" t="s">
        <v>443</v>
      </c>
      <c r="AG3" s="64"/>
      <c r="AH3" s="64"/>
      <c r="AI3" s="64"/>
      <c r="AJ3" s="64"/>
      <c r="AK3" s="64"/>
      <c r="AL3" s="64"/>
      <c r="AM3" s="64"/>
      <c r="AN3" s="64"/>
      <c r="AO3" s="64"/>
      <c r="AP3" s="71"/>
      <c r="AQ3" s="64"/>
      <c r="AR3" s="70"/>
      <c r="AS3" s="64"/>
      <c r="AT3" s="64" t="s">
        <v>430</v>
      </c>
    </row>
    <row r="4" spans="1:46" ht="27" customHeight="1" x14ac:dyDescent="0.25">
      <c r="A4" s="64" t="s">
        <v>728</v>
      </c>
      <c r="B4" s="64" t="s">
        <v>482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70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71"/>
      <c r="AQ4" s="64"/>
      <c r="AR4" s="70"/>
      <c r="AS4" s="64"/>
      <c r="AT4" s="64" t="s">
        <v>691</v>
      </c>
    </row>
    <row r="5" spans="1:46" ht="27" customHeight="1" x14ac:dyDescent="0.25">
      <c r="A5" s="64" t="s">
        <v>733</v>
      </c>
      <c r="B5" s="64" t="s">
        <v>482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70"/>
      <c r="N5" s="64"/>
      <c r="O5" s="64"/>
      <c r="P5" s="64"/>
      <c r="Q5" s="64" t="s">
        <v>690</v>
      </c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71"/>
      <c r="AQ5" s="64"/>
      <c r="AR5" s="70"/>
      <c r="AS5" s="64"/>
      <c r="AT5" s="64"/>
    </row>
    <row r="6" spans="1:46" ht="22.5" x14ac:dyDescent="0.25">
      <c r="A6" s="64" t="s">
        <v>737</v>
      </c>
      <c r="B6" s="64" t="s">
        <v>482</v>
      </c>
      <c r="C6" s="64"/>
      <c r="D6" s="64"/>
      <c r="E6" s="64"/>
      <c r="F6" s="64"/>
      <c r="G6" s="64"/>
      <c r="H6" s="64"/>
      <c r="I6" s="64" t="s">
        <v>692</v>
      </c>
      <c r="J6" s="64"/>
      <c r="K6" s="64"/>
      <c r="L6" s="64"/>
      <c r="M6" s="70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71"/>
      <c r="AQ6" s="64"/>
      <c r="AR6" s="70"/>
      <c r="AS6" s="64"/>
      <c r="AT6" s="64" t="s">
        <v>693</v>
      </c>
    </row>
    <row r="7" spans="1:46" ht="33.75" x14ac:dyDescent="0.25">
      <c r="A7" s="64" t="s">
        <v>694</v>
      </c>
      <c r="B7" s="64" t="s">
        <v>33</v>
      </c>
      <c r="C7" s="64" t="s">
        <v>429</v>
      </c>
      <c r="D7" s="64" t="s">
        <v>432</v>
      </c>
      <c r="E7" s="64" t="s">
        <v>428</v>
      </c>
      <c r="F7" s="64" t="s">
        <v>427</v>
      </c>
      <c r="G7" s="64" t="s">
        <v>435</v>
      </c>
      <c r="H7" s="64" t="s">
        <v>433</v>
      </c>
      <c r="I7" s="64" t="s">
        <v>686</v>
      </c>
      <c r="J7" s="64" t="s">
        <v>441</v>
      </c>
      <c r="K7" s="64" t="s">
        <v>687</v>
      </c>
      <c r="L7" s="64" t="s">
        <v>426</v>
      </c>
      <c r="M7" s="70" t="s">
        <v>425</v>
      </c>
      <c r="N7" s="64" t="s">
        <v>437</v>
      </c>
      <c r="O7" s="64"/>
      <c r="P7" s="64"/>
      <c r="Q7" s="64"/>
      <c r="R7" s="64"/>
      <c r="S7" s="64"/>
      <c r="T7" s="64"/>
      <c r="U7" s="64" t="s">
        <v>423</v>
      </c>
      <c r="V7" s="64"/>
      <c r="W7" s="64"/>
      <c r="X7" s="64"/>
      <c r="Y7" s="64"/>
      <c r="Z7" s="64"/>
      <c r="AA7" s="64"/>
      <c r="AB7" s="64"/>
      <c r="AC7" s="64"/>
      <c r="AD7" s="64"/>
      <c r="AE7" s="64" t="s">
        <v>688</v>
      </c>
      <c r="AF7" s="64" t="s">
        <v>689</v>
      </c>
      <c r="AG7" s="64"/>
      <c r="AH7" s="64"/>
      <c r="AI7" s="64"/>
      <c r="AJ7" s="64"/>
      <c r="AK7" s="64"/>
      <c r="AL7" s="64"/>
      <c r="AM7" s="64"/>
      <c r="AN7" s="64"/>
      <c r="AO7" s="71"/>
      <c r="AP7" s="64"/>
      <c r="AQ7" s="64"/>
      <c r="AR7" s="64"/>
      <c r="AS7" s="64"/>
      <c r="AT7" s="64" t="s">
        <v>430</v>
      </c>
    </row>
    <row r="8" spans="1:46" ht="26.25" customHeight="1" x14ac:dyDescent="0.25">
      <c r="A8" s="64" t="s">
        <v>742</v>
      </c>
      <c r="B8" s="64" t="s">
        <v>482</v>
      </c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71"/>
      <c r="AJ8" s="64"/>
      <c r="AK8" s="64"/>
      <c r="AL8" s="64"/>
      <c r="AM8" s="64"/>
      <c r="AN8" s="71"/>
      <c r="AO8" s="71"/>
      <c r="AP8" s="64"/>
      <c r="AQ8" s="64"/>
      <c r="AR8" s="64"/>
      <c r="AS8" s="64"/>
      <c r="AT8" s="64" t="s">
        <v>691</v>
      </c>
    </row>
    <row r="9" spans="1:46" ht="90" x14ac:dyDescent="0.25">
      <c r="A9" s="64" t="s">
        <v>694</v>
      </c>
      <c r="B9" s="64" t="s">
        <v>33</v>
      </c>
      <c r="C9" s="82" t="s">
        <v>774</v>
      </c>
      <c r="D9" s="82" t="s">
        <v>774</v>
      </c>
      <c r="E9" s="82" t="s">
        <v>774</v>
      </c>
      <c r="F9" s="82" t="s">
        <v>774</v>
      </c>
      <c r="G9" s="82" t="s">
        <v>774</v>
      </c>
      <c r="H9" s="82" t="s">
        <v>774</v>
      </c>
      <c r="I9" s="82" t="s">
        <v>774</v>
      </c>
      <c r="J9" s="82" t="s">
        <v>774</v>
      </c>
      <c r="K9" s="82" t="s">
        <v>774</v>
      </c>
      <c r="L9" s="82" t="s">
        <v>774</v>
      </c>
      <c r="M9" s="82" t="s">
        <v>774</v>
      </c>
      <c r="N9" s="82" t="s">
        <v>774</v>
      </c>
      <c r="O9" s="82" t="s">
        <v>774</v>
      </c>
      <c r="P9" s="82" t="s">
        <v>774</v>
      </c>
      <c r="Q9" s="82" t="s">
        <v>774</v>
      </c>
      <c r="R9" s="82" t="s">
        <v>774</v>
      </c>
      <c r="S9" s="82" t="s">
        <v>774</v>
      </c>
      <c r="T9" s="82" t="s">
        <v>774</v>
      </c>
      <c r="U9" s="82" t="s">
        <v>774</v>
      </c>
      <c r="V9" s="82" t="s">
        <v>774</v>
      </c>
      <c r="W9" s="82" t="s">
        <v>774</v>
      </c>
      <c r="X9" s="82" t="s">
        <v>774</v>
      </c>
      <c r="Y9" s="82" t="s">
        <v>774</v>
      </c>
      <c r="Z9" s="82" t="s">
        <v>774</v>
      </c>
      <c r="AA9" s="82" t="s">
        <v>774</v>
      </c>
      <c r="AB9" s="82" t="s">
        <v>774</v>
      </c>
      <c r="AC9" s="82" t="s">
        <v>774</v>
      </c>
      <c r="AD9" s="82" t="s">
        <v>774</v>
      </c>
      <c r="AE9" s="82" t="s">
        <v>774</v>
      </c>
      <c r="AF9" s="82" t="s">
        <v>774</v>
      </c>
      <c r="AG9" s="82" t="s">
        <v>774</v>
      </c>
      <c r="AH9" s="82" t="s">
        <v>774</v>
      </c>
      <c r="AI9" s="82" t="s">
        <v>774</v>
      </c>
      <c r="AJ9" s="82" t="s">
        <v>774</v>
      </c>
      <c r="AK9" s="82" t="s">
        <v>774</v>
      </c>
      <c r="AL9" s="82" t="s">
        <v>774</v>
      </c>
      <c r="AM9" s="82" t="s">
        <v>774</v>
      </c>
      <c r="AN9" s="82" t="s">
        <v>774</v>
      </c>
      <c r="AO9" s="82" t="s">
        <v>774</v>
      </c>
      <c r="AP9" s="82" t="s">
        <v>774</v>
      </c>
      <c r="AQ9" s="82" t="s">
        <v>774</v>
      </c>
      <c r="AR9" s="82" t="s">
        <v>774</v>
      </c>
      <c r="AS9" s="82" t="s">
        <v>774</v>
      </c>
      <c r="AT9" s="82" t="s">
        <v>774</v>
      </c>
    </row>
    <row r="10" spans="1:46" ht="90" x14ac:dyDescent="0.25">
      <c r="A10" s="64" t="s">
        <v>776</v>
      </c>
      <c r="B10" s="64" t="s">
        <v>482</v>
      </c>
      <c r="C10" s="82" t="s">
        <v>775</v>
      </c>
      <c r="D10" s="82" t="s">
        <v>775</v>
      </c>
      <c r="E10" s="82" t="s">
        <v>775</v>
      </c>
      <c r="F10" s="82" t="s">
        <v>775</v>
      </c>
      <c r="G10" s="82" t="s">
        <v>775</v>
      </c>
      <c r="H10" s="82" t="s">
        <v>775</v>
      </c>
      <c r="I10" s="82" t="s">
        <v>775</v>
      </c>
      <c r="J10" s="82" t="s">
        <v>775</v>
      </c>
      <c r="K10" s="82" t="s">
        <v>775</v>
      </c>
      <c r="L10" s="82" t="s">
        <v>775</v>
      </c>
      <c r="M10" s="82" t="s">
        <v>775</v>
      </c>
      <c r="N10" s="82" t="s">
        <v>775</v>
      </c>
      <c r="O10" s="82" t="s">
        <v>775</v>
      </c>
      <c r="P10" s="82" t="s">
        <v>775</v>
      </c>
      <c r="Q10" s="82" t="s">
        <v>775</v>
      </c>
      <c r="R10" s="82" t="s">
        <v>775</v>
      </c>
      <c r="S10" s="82" t="s">
        <v>775</v>
      </c>
      <c r="T10" s="82" t="s">
        <v>775</v>
      </c>
      <c r="U10" s="82" t="s">
        <v>775</v>
      </c>
      <c r="V10" s="82" t="s">
        <v>775</v>
      </c>
      <c r="W10" s="82" t="s">
        <v>775</v>
      </c>
      <c r="X10" s="82" t="s">
        <v>775</v>
      </c>
      <c r="Y10" s="82" t="s">
        <v>775</v>
      </c>
      <c r="Z10" s="82" t="s">
        <v>775</v>
      </c>
      <c r="AA10" s="82" t="s">
        <v>775</v>
      </c>
      <c r="AB10" s="82" t="s">
        <v>775</v>
      </c>
      <c r="AC10" s="82" t="s">
        <v>775</v>
      </c>
      <c r="AD10" s="82" t="s">
        <v>775</v>
      </c>
      <c r="AE10" s="82" t="s">
        <v>775</v>
      </c>
      <c r="AF10" s="82" t="s">
        <v>775</v>
      </c>
      <c r="AG10" s="82" t="s">
        <v>775</v>
      </c>
      <c r="AH10" s="82" t="s">
        <v>775</v>
      </c>
      <c r="AI10" s="82" t="s">
        <v>775</v>
      </c>
      <c r="AJ10" s="82" t="s">
        <v>775</v>
      </c>
      <c r="AK10" s="82" t="s">
        <v>775</v>
      </c>
      <c r="AL10" s="82" t="s">
        <v>775</v>
      </c>
      <c r="AM10" s="82" t="s">
        <v>775</v>
      </c>
      <c r="AN10" s="82" t="s">
        <v>775</v>
      </c>
      <c r="AO10" s="82" t="s">
        <v>775</v>
      </c>
      <c r="AP10" s="82" t="s">
        <v>775</v>
      </c>
      <c r="AQ10" s="82" t="s">
        <v>775</v>
      </c>
      <c r="AR10" s="82" t="s">
        <v>775</v>
      </c>
      <c r="AS10" s="82" t="s">
        <v>775</v>
      </c>
      <c r="AT10" s="82" t="s">
        <v>775</v>
      </c>
    </row>
  </sheetData>
  <autoFilter ref="A1:AT10" xr:uid="{00000000-0001-0000-0000-000000000000}"/>
  <phoneticPr fontId="24" type="noConversion"/>
  <conditionalFormatting sqref="A2">
    <cfRule type="duplicateValues" dxfId="52" priority="5"/>
  </conditionalFormatting>
  <conditionalFormatting sqref="A3:A6">
    <cfRule type="duplicateValues" dxfId="51" priority="12"/>
    <cfRule type="duplicateValues" dxfId="50" priority="13"/>
  </conditionalFormatting>
  <conditionalFormatting sqref="A7">
    <cfRule type="duplicateValues" dxfId="49" priority="6"/>
    <cfRule type="duplicateValues" dxfId="48" priority="7"/>
  </conditionalFormatting>
  <conditionalFormatting sqref="A8">
    <cfRule type="duplicateValues" dxfId="47" priority="10"/>
    <cfRule type="duplicateValues" dxfId="46" priority="11"/>
  </conditionalFormatting>
  <conditionalFormatting sqref="A9">
    <cfRule type="duplicateValues" dxfId="45" priority="1"/>
    <cfRule type="duplicateValues" dxfId="44" priority="2"/>
  </conditionalFormatting>
  <conditionalFormatting sqref="A10">
    <cfRule type="duplicateValues" dxfId="43" priority="3"/>
    <cfRule type="duplicateValues" dxfId="42" priority="4"/>
  </conditionalFormatting>
  <conditionalFormatting sqref="A1505:A1048576 A1">
    <cfRule type="duplicateValues" dxfId="41" priority="92"/>
    <cfRule type="duplicateValues" dxfId="40" priority="93"/>
  </conditionalFormatting>
  <pageMargins left="0" right="0" top="0.74803149606299213" bottom="0.74803149606299213" header="0.31496062992125984" footer="0.31496062992125984"/>
  <pageSetup paperSize="8" scale="65" fitToWidth="2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CA7FF-74D6-4AEA-A40B-7424E6175D23}">
  <sheetPr>
    <pageSetUpPr fitToPage="1"/>
  </sheetPr>
  <dimension ref="A1:AL10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5" sqref="E25"/>
    </sheetView>
  </sheetViews>
  <sheetFormatPr baseColWidth="10" defaultColWidth="20.7109375" defaultRowHeight="11.25" x14ac:dyDescent="0.25"/>
  <cols>
    <col min="1" max="1" width="52.7109375" style="66" bestFit="1" customWidth="1"/>
    <col min="2" max="2" width="12" style="66" customWidth="1"/>
    <col min="3" max="8" width="20.7109375" style="66"/>
    <col min="9" max="9" width="20.7109375" style="66" customWidth="1"/>
    <col min="10" max="10" width="20.7109375" style="69" customWidth="1"/>
    <col min="11" max="19" width="20.7109375" style="66" customWidth="1"/>
    <col min="20" max="20" width="20.7109375" style="69" customWidth="1"/>
    <col min="21" max="21" width="20.7109375" style="66" customWidth="1"/>
    <col min="22" max="22" width="20.7109375" style="69" customWidth="1" collapsed="1"/>
    <col min="23" max="25" width="20.7109375" style="69" customWidth="1"/>
    <col min="26" max="26" width="20.7109375" style="66" customWidth="1"/>
    <col min="27" max="29" width="20.7109375" style="69" customWidth="1"/>
    <col min="30" max="16384" width="20.7109375" style="66"/>
  </cols>
  <sheetData>
    <row r="1" spans="1:38" ht="21" customHeight="1" x14ac:dyDescent="0.25">
      <c r="A1" s="64" t="s">
        <v>415</v>
      </c>
      <c r="B1" s="64" t="s">
        <v>481</v>
      </c>
      <c r="C1" s="64" t="s">
        <v>484</v>
      </c>
      <c r="D1" s="64" t="s">
        <v>485</v>
      </c>
      <c r="E1" s="64" t="s">
        <v>486</v>
      </c>
      <c r="F1" s="64" t="s">
        <v>487</v>
      </c>
      <c r="G1" s="64" t="s">
        <v>488</v>
      </c>
      <c r="H1" s="64" t="s">
        <v>489</v>
      </c>
      <c r="I1" s="64" t="s">
        <v>490</v>
      </c>
      <c r="J1" s="64" t="s">
        <v>491</v>
      </c>
      <c r="K1" s="64" t="s">
        <v>492</v>
      </c>
      <c r="L1" s="64" t="s">
        <v>493</v>
      </c>
      <c r="M1" s="64" t="s">
        <v>494</v>
      </c>
      <c r="N1" s="64" t="s">
        <v>495</v>
      </c>
      <c r="O1" s="64" t="s">
        <v>496</v>
      </c>
      <c r="P1" s="64" t="s">
        <v>497</v>
      </c>
      <c r="Q1" s="64" t="s">
        <v>52</v>
      </c>
      <c r="R1" s="64" t="s">
        <v>498</v>
      </c>
      <c r="S1" s="74" t="s">
        <v>499</v>
      </c>
      <c r="T1" s="75" t="s">
        <v>500</v>
      </c>
      <c r="U1" s="74" t="s">
        <v>501</v>
      </c>
      <c r="V1" s="73" t="s">
        <v>502</v>
      </c>
      <c r="W1" s="64" t="s">
        <v>503</v>
      </c>
      <c r="X1" s="73" t="s">
        <v>504</v>
      </c>
      <c r="Y1" s="73" t="s">
        <v>505</v>
      </c>
      <c r="Z1" s="71" t="s">
        <v>506</v>
      </c>
      <c r="AA1" s="73" t="s">
        <v>507</v>
      </c>
      <c r="AB1" s="73" t="s">
        <v>508</v>
      </c>
      <c r="AC1" s="73" t="s">
        <v>509</v>
      </c>
      <c r="AD1" s="71" t="s">
        <v>696</v>
      </c>
      <c r="AE1" s="71" t="s">
        <v>455</v>
      </c>
      <c r="AF1" s="71" t="s">
        <v>454</v>
      </c>
      <c r="AG1" s="71" t="s">
        <v>453</v>
      </c>
      <c r="AH1" s="71" t="s">
        <v>452</v>
      </c>
      <c r="AI1" s="71" t="s">
        <v>451</v>
      </c>
      <c r="AJ1" s="71" t="s">
        <v>450</v>
      </c>
      <c r="AK1" s="71" t="s">
        <v>449</v>
      </c>
      <c r="AL1" s="71" t="s">
        <v>448</v>
      </c>
    </row>
    <row r="2" spans="1:38" s="67" customFormat="1" ht="27" customHeight="1" x14ac:dyDescent="0.25">
      <c r="A2" s="64" t="s">
        <v>223</v>
      </c>
      <c r="B2" s="64" t="s">
        <v>482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72"/>
      <c r="AA2" s="64"/>
      <c r="AB2" s="64"/>
      <c r="AC2" s="64"/>
      <c r="AD2" s="72"/>
      <c r="AE2" s="72"/>
      <c r="AF2" s="72"/>
      <c r="AG2" s="72"/>
      <c r="AH2" s="72"/>
      <c r="AI2" s="72"/>
      <c r="AJ2" s="72"/>
      <c r="AK2" s="72"/>
      <c r="AL2" s="72"/>
    </row>
    <row r="3" spans="1:38" ht="27" customHeight="1" x14ac:dyDescent="0.25">
      <c r="A3" s="64" t="s">
        <v>419</v>
      </c>
      <c r="B3" s="64" t="s">
        <v>33</v>
      </c>
      <c r="C3" s="64" t="s">
        <v>510</v>
      </c>
      <c r="D3" s="64" t="s">
        <v>511</v>
      </c>
      <c r="E3" s="64" t="s">
        <v>512</v>
      </c>
      <c r="F3" s="64" t="s">
        <v>518</v>
      </c>
      <c r="G3" s="64" t="s">
        <v>516</v>
      </c>
      <c r="H3" s="64" t="s">
        <v>513</v>
      </c>
      <c r="I3" s="64"/>
      <c r="J3" s="64" t="s">
        <v>514</v>
      </c>
      <c r="K3" s="64" t="s">
        <v>515</v>
      </c>
      <c r="L3" s="64" t="s">
        <v>517</v>
      </c>
      <c r="M3" s="64"/>
      <c r="N3" s="64"/>
      <c r="O3" s="64"/>
      <c r="P3" s="64"/>
      <c r="Q3" s="64"/>
      <c r="R3" s="64"/>
      <c r="S3" s="64"/>
      <c r="T3" s="64"/>
      <c r="U3" s="64"/>
      <c r="V3" s="64" t="s">
        <v>519</v>
      </c>
      <c r="W3" s="72"/>
      <c r="X3" s="72"/>
      <c r="Y3" s="72"/>
      <c r="Z3" s="71"/>
      <c r="AA3" s="73"/>
      <c r="AB3" s="64"/>
      <c r="AC3" s="64"/>
      <c r="AD3" s="76"/>
      <c r="AE3" s="72"/>
      <c r="AF3" s="72"/>
      <c r="AG3" s="72"/>
      <c r="AH3" s="72"/>
      <c r="AI3" s="72"/>
      <c r="AJ3" s="70"/>
      <c r="AK3" s="72"/>
      <c r="AL3" s="72"/>
    </row>
    <row r="4" spans="1:38" s="67" customFormat="1" ht="27" customHeight="1" x14ac:dyDescent="0.25">
      <c r="A4" s="64" t="s">
        <v>729</v>
      </c>
      <c r="B4" s="64" t="s">
        <v>482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72"/>
      <c r="AA4" s="64"/>
      <c r="AB4" s="64"/>
      <c r="AC4" s="64"/>
      <c r="AD4" s="72" t="s">
        <v>696</v>
      </c>
      <c r="AE4" s="72"/>
      <c r="AF4" s="72"/>
      <c r="AG4" s="72"/>
      <c r="AH4" s="72"/>
      <c r="AI4" s="72"/>
      <c r="AJ4" s="72"/>
      <c r="AK4" s="72"/>
      <c r="AL4" s="72"/>
    </row>
    <row r="5" spans="1:38" s="67" customFormat="1" ht="27" customHeight="1" x14ac:dyDescent="0.25">
      <c r="A5" s="64" t="s">
        <v>734</v>
      </c>
      <c r="B5" s="64" t="s">
        <v>482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72"/>
      <c r="AA5" s="64"/>
      <c r="AB5" s="64"/>
      <c r="AC5" s="64"/>
      <c r="AD5" s="64" t="s">
        <v>697</v>
      </c>
      <c r="AE5" s="72"/>
      <c r="AF5" s="72"/>
      <c r="AG5" s="72"/>
      <c r="AH5" s="72"/>
      <c r="AI5" s="72"/>
      <c r="AJ5" s="72"/>
      <c r="AK5" s="72"/>
      <c r="AL5" s="72"/>
    </row>
    <row r="6" spans="1:38" s="67" customFormat="1" ht="27" customHeight="1" x14ac:dyDescent="0.25">
      <c r="A6" s="64" t="s">
        <v>738</v>
      </c>
      <c r="B6" s="64" t="s">
        <v>482</v>
      </c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72"/>
      <c r="AA6" s="64"/>
      <c r="AB6" s="64"/>
      <c r="AC6" s="64"/>
      <c r="AD6" s="72" t="s">
        <v>696</v>
      </c>
      <c r="AE6" s="72"/>
      <c r="AF6" s="72"/>
      <c r="AG6" s="72"/>
      <c r="AH6" s="72"/>
      <c r="AI6" s="72"/>
      <c r="AJ6" s="72"/>
      <c r="AK6" s="72"/>
      <c r="AL6" s="72"/>
    </row>
    <row r="7" spans="1:38" ht="27" customHeight="1" x14ac:dyDescent="0.25">
      <c r="A7" s="64" t="s">
        <v>241</v>
      </c>
      <c r="B7" s="64" t="s">
        <v>33</v>
      </c>
      <c r="C7" s="70" t="s">
        <v>760</v>
      </c>
      <c r="D7" s="64" t="s">
        <v>511</v>
      </c>
      <c r="E7" s="64" t="s">
        <v>761</v>
      </c>
      <c r="F7" s="64" t="s">
        <v>762</v>
      </c>
      <c r="G7" s="64" t="s">
        <v>763</v>
      </c>
      <c r="H7" s="64" t="s">
        <v>513</v>
      </c>
      <c r="I7" s="64"/>
      <c r="J7" s="64" t="s">
        <v>764</v>
      </c>
      <c r="K7" s="64" t="s">
        <v>765</v>
      </c>
      <c r="L7" s="64" t="s">
        <v>766</v>
      </c>
      <c r="M7" s="72"/>
      <c r="N7" s="72"/>
      <c r="O7" s="72"/>
      <c r="P7" s="72"/>
      <c r="Q7" s="72"/>
      <c r="R7" s="72"/>
      <c r="S7" s="72"/>
      <c r="T7" s="72"/>
      <c r="U7" s="72"/>
      <c r="V7" s="64"/>
      <c r="W7" s="72"/>
      <c r="X7" s="72"/>
      <c r="Y7" s="72"/>
      <c r="Z7" s="71"/>
      <c r="AA7" s="73"/>
      <c r="AB7" s="64"/>
      <c r="AC7" s="64"/>
      <c r="AD7" s="72"/>
      <c r="AE7" s="72"/>
      <c r="AF7" s="71"/>
      <c r="AG7" s="71"/>
      <c r="AH7" s="72"/>
      <c r="AI7" s="72"/>
      <c r="AJ7" s="70"/>
      <c r="AK7" s="72"/>
      <c r="AL7" s="72"/>
    </row>
    <row r="8" spans="1:38" ht="27" customHeight="1" x14ac:dyDescent="0.25">
      <c r="A8" s="64" t="s">
        <v>754</v>
      </c>
      <c r="B8" s="64" t="s">
        <v>482</v>
      </c>
      <c r="C8" s="70"/>
      <c r="D8" s="64"/>
      <c r="E8" s="64"/>
      <c r="F8" s="64"/>
      <c r="G8" s="64"/>
      <c r="H8" s="64"/>
      <c r="I8" s="64"/>
      <c r="J8" s="64"/>
      <c r="K8" s="64"/>
      <c r="L8" s="64"/>
      <c r="M8" s="72"/>
      <c r="N8" s="72"/>
      <c r="O8" s="72"/>
      <c r="P8" s="72"/>
      <c r="Q8" s="72"/>
      <c r="R8" s="72"/>
      <c r="S8" s="72"/>
      <c r="T8" s="72"/>
      <c r="U8" s="72"/>
      <c r="V8" s="64"/>
      <c r="W8" s="72"/>
      <c r="X8" s="72"/>
      <c r="Y8" s="72"/>
      <c r="Z8" s="71"/>
      <c r="AA8" s="73"/>
      <c r="AB8" s="64"/>
      <c r="AC8" s="64"/>
      <c r="AD8" s="72" t="s">
        <v>767</v>
      </c>
      <c r="AE8" s="72"/>
      <c r="AF8" s="71"/>
      <c r="AG8" s="71"/>
      <c r="AH8" s="72"/>
      <c r="AI8" s="72"/>
      <c r="AJ8" s="70"/>
      <c r="AK8" s="72"/>
      <c r="AL8" s="72"/>
    </row>
    <row r="9" spans="1:38" ht="90" x14ac:dyDescent="0.25">
      <c r="A9" s="64" t="s">
        <v>758</v>
      </c>
      <c r="B9" s="64" t="s">
        <v>33</v>
      </c>
      <c r="C9" s="82" t="s">
        <v>774</v>
      </c>
      <c r="D9" s="82" t="s">
        <v>774</v>
      </c>
      <c r="E9" s="82" t="s">
        <v>774</v>
      </c>
      <c r="F9" s="82" t="s">
        <v>774</v>
      </c>
      <c r="G9" s="82" t="s">
        <v>774</v>
      </c>
      <c r="H9" s="82" t="s">
        <v>774</v>
      </c>
      <c r="I9" s="82" t="s">
        <v>774</v>
      </c>
      <c r="J9" s="82" t="s">
        <v>774</v>
      </c>
      <c r="K9" s="82" t="s">
        <v>774</v>
      </c>
      <c r="L9" s="82" t="s">
        <v>774</v>
      </c>
      <c r="M9" s="82" t="s">
        <v>774</v>
      </c>
      <c r="N9" s="82" t="s">
        <v>774</v>
      </c>
      <c r="O9" s="82" t="s">
        <v>774</v>
      </c>
      <c r="P9" s="82" t="s">
        <v>774</v>
      </c>
      <c r="Q9" s="82" t="s">
        <v>774</v>
      </c>
      <c r="R9" s="82" t="s">
        <v>774</v>
      </c>
      <c r="S9" s="82" t="s">
        <v>774</v>
      </c>
      <c r="T9" s="82" t="s">
        <v>774</v>
      </c>
      <c r="U9" s="82" t="s">
        <v>774</v>
      </c>
      <c r="V9" s="82" t="s">
        <v>774</v>
      </c>
      <c r="W9" s="82" t="s">
        <v>774</v>
      </c>
      <c r="X9" s="82" t="s">
        <v>774</v>
      </c>
      <c r="Y9" s="82" t="s">
        <v>774</v>
      </c>
      <c r="Z9" s="82" t="s">
        <v>774</v>
      </c>
      <c r="AA9" s="82" t="s">
        <v>774</v>
      </c>
      <c r="AB9" s="82" t="s">
        <v>774</v>
      </c>
      <c r="AC9" s="82" t="s">
        <v>774</v>
      </c>
      <c r="AD9" s="82" t="s">
        <v>774</v>
      </c>
      <c r="AE9" s="82" t="s">
        <v>774</v>
      </c>
      <c r="AF9" s="82" t="s">
        <v>774</v>
      </c>
      <c r="AG9" s="82" t="s">
        <v>774</v>
      </c>
      <c r="AH9" s="82" t="s">
        <v>774</v>
      </c>
      <c r="AI9" s="82" t="s">
        <v>774</v>
      </c>
      <c r="AJ9" s="82" t="s">
        <v>774</v>
      </c>
      <c r="AK9" s="82" t="s">
        <v>774</v>
      </c>
      <c r="AL9" s="82" t="s">
        <v>774</v>
      </c>
    </row>
    <row r="10" spans="1:38" ht="90" x14ac:dyDescent="0.25">
      <c r="A10" s="64" t="s">
        <v>756</v>
      </c>
      <c r="B10" s="64" t="s">
        <v>482</v>
      </c>
      <c r="C10" s="82" t="s">
        <v>775</v>
      </c>
      <c r="D10" s="82" t="s">
        <v>775</v>
      </c>
      <c r="E10" s="82" t="s">
        <v>775</v>
      </c>
      <c r="F10" s="82" t="s">
        <v>775</v>
      </c>
      <c r="G10" s="82" t="s">
        <v>775</v>
      </c>
      <c r="H10" s="82" t="s">
        <v>775</v>
      </c>
      <c r="I10" s="82" t="s">
        <v>775</v>
      </c>
      <c r="J10" s="82" t="s">
        <v>775</v>
      </c>
      <c r="K10" s="82" t="s">
        <v>775</v>
      </c>
      <c r="L10" s="82" t="s">
        <v>775</v>
      </c>
      <c r="M10" s="82" t="s">
        <v>775</v>
      </c>
      <c r="N10" s="82" t="s">
        <v>775</v>
      </c>
      <c r="O10" s="82" t="s">
        <v>775</v>
      </c>
      <c r="P10" s="82" t="s">
        <v>775</v>
      </c>
      <c r="Q10" s="82" t="s">
        <v>775</v>
      </c>
      <c r="R10" s="82" t="s">
        <v>775</v>
      </c>
      <c r="S10" s="82" t="s">
        <v>775</v>
      </c>
      <c r="T10" s="82" t="s">
        <v>775</v>
      </c>
      <c r="U10" s="82" t="s">
        <v>775</v>
      </c>
      <c r="V10" s="82" t="s">
        <v>775</v>
      </c>
      <c r="W10" s="82" t="s">
        <v>775</v>
      </c>
      <c r="X10" s="82" t="s">
        <v>775</v>
      </c>
      <c r="Y10" s="82" t="s">
        <v>775</v>
      </c>
      <c r="Z10" s="82" t="s">
        <v>775</v>
      </c>
      <c r="AA10" s="82" t="s">
        <v>775</v>
      </c>
      <c r="AB10" s="82" t="s">
        <v>775</v>
      </c>
      <c r="AC10" s="82" t="s">
        <v>775</v>
      </c>
      <c r="AD10" s="82" t="s">
        <v>775</v>
      </c>
      <c r="AE10" s="82" t="s">
        <v>775</v>
      </c>
      <c r="AF10" s="82" t="s">
        <v>775</v>
      </c>
      <c r="AG10" s="82" t="s">
        <v>775</v>
      </c>
      <c r="AH10" s="82" t="s">
        <v>775</v>
      </c>
      <c r="AI10" s="82" t="s">
        <v>775</v>
      </c>
      <c r="AJ10" s="82" t="s">
        <v>775</v>
      </c>
      <c r="AK10" s="82" t="s">
        <v>775</v>
      </c>
      <c r="AL10" s="82" t="s">
        <v>775</v>
      </c>
    </row>
  </sheetData>
  <autoFilter ref="A1:AL10" xr:uid="{00000000-0001-0000-0000-000000000000}"/>
  <conditionalFormatting sqref="A2">
    <cfRule type="duplicateValues" dxfId="39" priority="4"/>
  </conditionalFormatting>
  <conditionalFormatting sqref="A3">
    <cfRule type="duplicateValues" dxfId="38" priority="3"/>
  </conditionalFormatting>
  <conditionalFormatting sqref="A4:A6">
    <cfRule type="duplicateValues" dxfId="37" priority="2"/>
  </conditionalFormatting>
  <conditionalFormatting sqref="A7:A10">
    <cfRule type="duplicateValues" dxfId="36" priority="1"/>
  </conditionalFormatting>
  <conditionalFormatting sqref="A1240:A1048576 A1">
    <cfRule type="duplicateValues" dxfId="35" priority="13"/>
  </conditionalFormatting>
  <pageMargins left="0" right="0" top="0.74803149606299213" bottom="0.74803149606299213" header="0.31496062992125984" footer="0.31496062992125984"/>
  <pageSetup paperSize="8" scale="70" fitToWidth="2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8D9C9-2734-4086-8A91-8189F9B44FDB}">
  <sheetPr>
    <pageSetUpPr fitToPage="1"/>
  </sheetPr>
  <dimension ref="A1:AR9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24" sqref="F24"/>
    </sheetView>
  </sheetViews>
  <sheetFormatPr baseColWidth="10" defaultColWidth="20.7109375" defaultRowHeight="11.25" outlineLevelCol="1" x14ac:dyDescent="0.25"/>
  <cols>
    <col min="1" max="1" width="49.140625" style="69" bestFit="1" customWidth="1"/>
    <col min="2" max="2" width="17.140625" style="69" customWidth="1"/>
    <col min="3" max="9" width="20.7109375" style="69" customWidth="1"/>
    <col min="10" max="23" width="20.7109375" style="69" customWidth="1" outlineLevel="1"/>
    <col min="24" max="26" width="20.7109375" style="69" customWidth="1"/>
    <col min="27" max="35" width="20.7109375" style="69" customWidth="1" outlineLevel="1"/>
    <col min="36" max="38" width="20.7109375" style="69"/>
    <col min="39" max="41" width="20.7109375" style="69" outlineLevel="1"/>
    <col min="42" max="42" width="19" style="69" customWidth="1" outlineLevel="1"/>
    <col min="43" max="43" width="20.7109375" style="69"/>
    <col min="44" max="44" width="27" style="69" customWidth="1"/>
    <col min="45" max="16384" width="20.7109375" style="69"/>
  </cols>
  <sheetData>
    <row r="1" spans="1:44" ht="33.75" x14ac:dyDescent="0.25">
      <c r="A1" s="64" t="s">
        <v>520</v>
      </c>
      <c r="B1" s="64" t="s">
        <v>481</v>
      </c>
      <c r="C1" s="64" t="s">
        <v>521</v>
      </c>
      <c r="D1" s="64" t="s">
        <v>522</v>
      </c>
      <c r="E1" s="64" t="s">
        <v>523</v>
      </c>
      <c r="F1" s="64" t="s">
        <v>524</v>
      </c>
      <c r="G1" s="64" t="s">
        <v>525</v>
      </c>
      <c r="H1" s="64" t="s">
        <v>526</v>
      </c>
      <c r="I1" s="64" t="s">
        <v>527</v>
      </c>
      <c r="J1" s="64" t="s">
        <v>528</v>
      </c>
      <c r="K1" s="64" t="s">
        <v>529</v>
      </c>
      <c r="L1" s="64" t="s">
        <v>530</v>
      </c>
      <c r="M1" s="64" t="s">
        <v>531</v>
      </c>
      <c r="N1" s="64" t="s">
        <v>532</v>
      </c>
      <c r="O1" s="64" t="s">
        <v>533</v>
      </c>
      <c r="P1" s="64" t="s">
        <v>534</v>
      </c>
      <c r="Q1" s="64" t="s">
        <v>535</v>
      </c>
      <c r="R1" s="64" t="s">
        <v>536</v>
      </c>
      <c r="S1" s="64" t="s">
        <v>537</v>
      </c>
      <c r="T1" s="64" t="s">
        <v>538</v>
      </c>
      <c r="U1" s="64" t="s">
        <v>539</v>
      </c>
      <c r="V1" s="64" t="s">
        <v>540</v>
      </c>
      <c r="W1" s="64" t="s">
        <v>541</v>
      </c>
      <c r="X1" s="64" t="s">
        <v>542</v>
      </c>
      <c r="Y1" s="75" t="s">
        <v>543</v>
      </c>
      <c r="Z1" s="75" t="s">
        <v>544</v>
      </c>
      <c r="AA1" s="75" t="s">
        <v>545</v>
      </c>
      <c r="AB1" s="75" t="s">
        <v>546</v>
      </c>
      <c r="AC1" s="75" t="s">
        <v>547</v>
      </c>
      <c r="AD1" s="75" t="s">
        <v>548</v>
      </c>
      <c r="AE1" s="73" t="s">
        <v>549</v>
      </c>
      <c r="AF1" s="71" t="s">
        <v>550</v>
      </c>
      <c r="AG1" s="71" t="s">
        <v>551</v>
      </c>
      <c r="AH1" s="73" t="s">
        <v>552</v>
      </c>
      <c r="AI1" s="71" t="s">
        <v>430</v>
      </c>
      <c r="AJ1" s="73" t="s">
        <v>553</v>
      </c>
      <c r="AK1" s="73" t="s">
        <v>455</v>
      </c>
      <c r="AL1" s="73" t="s">
        <v>454</v>
      </c>
      <c r="AM1" s="73" t="s">
        <v>453</v>
      </c>
      <c r="AN1" s="73" t="s">
        <v>554</v>
      </c>
      <c r="AO1" s="73" t="s">
        <v>451</v>
      </c>
      <c r="AP1" s="73" t="s">
        <v>450</v>
      </c>
      <c r="AQ1" s="73" t="s">
        <v>449</v>
      </c>
      <c r="AR1" s="73" t="s">
        <v>448</v>
      </c>
    </row>
    <row r="2" spans="1:44" s="67" customFormat="1" x14ac:dyDescent="0.25">
      <c r="A2" s="64" t="s">
        <v>222</v>
      </c>
      <c r="B2" s="64" t="s">
        <v>482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72"/>
      <c r="AA2" s="64"/>
      <c r="AB2" s="64"/>
      <c r="AC2" s="64"/>
      <c r="AD2" s="72"/>
      <c r="AE2" s="72"/>
      <c r="AF2" s="72"/>
      <c r="AG2" s="72"/>
      <c r="AH2" s="72"/>
      <c r="AI2" s="72"/>
      <c r="AJ2" s="72"/>
      <c r="AK2" s="72"/>
      <c r="AL2" s="72"/>
    </row>
    <row r="3" spans="1:44" ht="45" x14ac:dyDescent="0.25">
      <c r="A3" s="64" t="s">
        <v>416</v>
      </c>
      <c r="B3" s="64" t="s">
        <v>33</v>
      </c>
      <c r="C3" s="64" t="s">
        <v>555</v>
      </c>
      <c r="D3" s="64" t="s">
        <v>565</v>
      </c>
      <c r="E3" s="64" t="s">
        <v>556</v>
      </c>
      <c r="F3" s="64" t="s">
        <v>557</v>
      </c>
      <c r="G3" s="64"/>
      <c r="H3" s="64" t="s">
        <v>566</v>
      </c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 t="s">
        <v>558</v>
      </c>
      <c r="Y3" s="64"/>
      <c r="Z3" s="64"/>
      <c r="AA3" s="64"/>
      <c r="AB3" s="64" t="s">
        <v>47</v>
      </c>
      <c r="AC3" s="64"/>
      <c r="AD3" s="64"/>
      <c r="AE3" s="64"/>
      <c r="AF3" s="71"/>
      <c r="AG3" s="71"/>
      <c r="AH3" s="64"/>
      <c r="AI3" s="64"/>
      <c r="AJ3" s="64"/>
      <c r="AK3" s="64"/>
      <c r="AL3" s="64"/>
      <c r="AM3" s="64"/>
      <c r="AN3" s="64" t="s">
        <v>560</v>
      </c>
      <c r="AO3" s="64"/>
      <c r="AP3" s="70"/>
      <c r="AQ3" s="64"/>
      <c r="AR3" s="64"/>
    </row>
    <row r="4" spans="1:44" ht="45" x14ac:dyDescent="0.25">
      <c r="A4" s="64" t="s">
        <v>699</v>
      </c>
      <c r="B4" s="64" t="s">
        <v>33</v>
      </c>
      <c r="C4" s="64" t="s">
        <v>555</v>
      </c>
      <c r="D4" s="64" t="s">
        <v>565</v>
      </c>
      <c r="E4" s="64" t="s">
        <v>556</v>
      </c>
      <c r="F4" s="64" t="s">
        <v>557</v>
      </c>
      <c r="G4" s="64"/>
      <c r="H4" s="64" t="s">
        <v>566</v>
      </c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 t="s">
        <v>558</v>
      </c>
      <c r="Y4" s="64"/>
      <c r="Z4" s="64"/>
      <c r="AA4" s="64"/>
      <c r="AB4" s="64" t="s">
        <v>47</v>
      </c>
      <c r="AC4" s="64"/>
      <c r="AD4" s="64"/>
      <c r="AE4" s="64"/>
      <c r="AF4" s="71"/>
      <c r="AG4" s="71"/>
      <c r="AH4" s="64"/>
      <c r="AI4" s="64"/>
      <c r="AJ4" s="64"/>
      <c r="AK4" s="64"/>
      <c r="AL4" s="64"/>
      <c r="AM4" s="64"/>
      <c r="AN4" s="64" t="s">
        <v>560</v>
      </c>
      <c r="AO4" s="64" t="s">
        <v>700</v>
      </c>
      <c r="AP4" s="70"/>
      <c r="AQ4" s="64"/>
      <c r="AR4" s="64"/>
    </row>
    <row r="5" spans="1:44" ht="27" customHeight="1" x14ac:dyDescent="0.25">
      <c r="A5" s="64" t="s">
        <v>730</v>
      </c>
      <c r="B5" s="64" t="s">
        <v>482</v>
      </c>
      <c r="C5" s="64" t="s">
        <v>698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</row>
    <row r="6" spans="1:44" ht="27" customHeight="1" x14ac:dyDescent="0.25">
      <c r="A6" s="64" t="s">
        <v>739</v>
      </c>
      <c r="B6" s="64" t="s">
        <v>482</v>
      </c>
      <c r="C6" s="64" t="s">
        <v>698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 t="s">
        <v>701</v>
      </c>
      <c r="AL6" s="64"/>
      <c r="AM6" s="64"/>
      <c r="AN6" s="64"/>
      <c r="AO6" s="64"/>
      <c r="AP6" s="64"/>
      <c r="AQ6" s="64"/>
      <c r="AR6" s="64"/>
    </row>
    <row r="7" spans="1:44" ht="45" x14ac:dyDescent="0.25">
      <c r="A7" s="64" t="s">
        <v>418</v>
      </c>
      <c r="B7" s="64" t="s">
        <v>33</v>
      </c>
      <c r="C7" s="64" t="s">
        <v>561</v>
      </c>
      <c r="D7" s="64" t="s">
        <v>564</v>
      </c>
      <c r="E7" s="64" t="s">
        <v>556</v>
      </c>
      <c r="F7" s="64" t="s">
        <v>557</v>
      </c>
      <c r="G7" s="64" t="s">
        <v>525</v>
      </c>
      <c r="H7" s="64" t="s">
        <v>562</v>
      </c>
      <c r="I7" s="64" t="s">
        <v>559</v>
      </c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 t="s">
        <v>558</v>
      </c>
      <c r="Y7" s="64"/>
      <c r="Z7" s="64"/>
      <c r="AA7" s="64"/>
      <c r="AB7" s="64" t="s">
        <v>47</v>
      </c>
      <c r="AC7" s="64"/>
      <c r="AD7" s="64"/>
      <c r="AE7" s="64"/>
      <c r="AF7" s="71"/>
      <c r="AG7" s="71"/>
      <c r="AH7" s="64"/>
      <c r="AI7" s="64"/>
      <c r="AJ7" s="64"/>
      <c r="AK7" s="64"/>
      <c r="AL7" s="71"/>
      <c r="AM7" s="64"/>
      <c r="AN7" s="64" t="s">
        <v>563</v>
      </c>
      <c r="AO7" s="64"/>
      <c r="AP7" s="64"/>
      <c r="AQ7" s="64"/>
      <c r="AR7" s="64"/>
    </row>
    <row r="8" spans="1:44" ht="101.25" x14ac:dyDescent="0.25">
      <c r="A8" s="64" t="s">
        <v>745</v>
      </c>
      <c r="B8" s="64" t="s">
        <v>33</v>
      </c>
      <c r="C8" s="82" t="s">
        <v>774</v>
      </c>
      <c r="D8" s="82" t="s">
        <v>774</v>
      </c>
      <c r="E8" s="82" t="s">
        <v>774</v>
      </c>
      <c r="F8" s="82" t="s">
        <v>774</v>
      </c>
      <c r="G8" s="82" t="s">
        <v>774</v>
      </c>
      <c r="H8" s="82" t="s">
        <v>774</v>
      </c>
      <c r="I8" s="82" t="s">
        <v>774</v>
      </c>
      <c r="J8" s="82" t="s">
        <v>774</v>
      </c>
      <c r="K8" s="82" t="s">
        <v>774</v>
      </c>
      <c r="L8" s="82" t="s">
        <v>774</v>
      </c>
      <c r="M8" s="82" t="s">
        <v>774</v>
      </c>
      <c r="N8" s="82" t="s">
        <v>774</v>
      </c>
      <c r="O8" s="82" t="s">
        <v>774</v>
      </c>
      <c r="P8" s="82" t="s">
        <v>774</v>
      </c>
      <c r="Q8" s="82" t="s">
        <v>774</v>
      </c>
      <c r="R8" s="82" t="s">
        <v>774</v>
      </c>
      <c r="S8" s="82" t="s">
        <v>774</v>
      </c>
      <c r="T8" s="82" t="s">
        <v>774</v>
      </c>
      <c r="U8" s="82" t="s">
        <v>774</v>
      </c>
      <c r="V8" s="82" t="s">
        <v>774</v>
      </c>
      <c r="W8" s="82" t="s">
        <v>774</v>
      </c>
      <c r="X8" s="82" t="s">
        <v>774</v>
      </c>
      <c r="Y8" s="82" t="s">
        <v>774</v>
      </c>
      <c r="Z8" s="82" t="s">
        <v>774</v>
      </c>
      <c r="AA8" s="82" t="s">
        <v>774</v>
      </c>
      <c r="AB8" s="82" t="s">
        <v>774</v>
      </c>
      <c r="AC8" s="82" t="s">
        <v>774</v>
      </c>
      <c r="AD8" s="82" t="s">
        <v>774</v>
      </c>
      <c r="AE8" s="82" t="s">
        <v>774</v>
      </c>
      <c r="AF8" s="82" t="s">
        <v>774</v>
      </c>
      <c r="AG8" s="82" t="s">
        <v>774</v>
      </c>
      <c r="AH8" s="82" t="s">
        <v>774</v>
      </c>
      <c r="AI8" s="82" t="s">
        <v>774</v>
      </c>
      <c r="AJ8" s="82" t="s">
        <v>774</v>
      </c>
      <c r="AK8" s="82" t="s">
        <v>774</v>
      </c>
      <c r="AL8" s="82" t="s">
        <v>774</v>
      </c>
      <c r="AM8" s="82" t="s">
        <v>774</v>
      </c>
      <c r="AN8" s="82" t="s">
        <v>774</v>
      </c>
      <c r="AO8" s="82" t="s">
        <v>774</v>
      </c>
      <c r="AP8" s="82" t="s">
        <v>774</v>
      </c>
      <c r="AQ8" s="82" t="s">
        <v>774</v>
      </c>
      <c r="AR8" s="82" t="s">
        <v>774</v>
      </c>
    </row>
    <row r="9" spans="1:44" ht="101.25" x14ac:dyDescent="0.25">
      <c r="A9" s="64" t="s">
        <v>757</v>
      </c>
      <c r="B9" s="64" t="s">
        <v>482</v>
      </c>
      <c r="C9" s="82" t="s">
        <v>775</v>
      </c>
      <c r="D9" s="82" t="s">
        <v>775</v>
      </c>
      <c r="E9" s="82" t="s">
        <v>775</v>
      </c>
      <c r="F9" s="82" t="s">
        <v>775</v>
      </c>
      <c r="G9" s="82" t="s">
        <v>775</v>
      </c>
      <c r="H9" s="82" t="s">
        <v>775</v>
      </c>
      <c r="I9" s="82" t="s">
        <v>775</v>
      </c>
      <c r="J9" s="82" t="s">
        <v>775</v>
      </c>
      <c r="K9" s="82" t="s">
        <v>775</v>
      </c>
      <c r="L9" s="82" t="s">
        <v>775</v>
      </c>
      <c r="M9" s="82" t="s">
        <v>775</v>
      </c>
      <c r="N9" s="82" t="s">
        <v>775</v>
      </c>
      <c r="O9" s="82" t="s">
        <v>775</v>
      </c>
      <c r="P9" s="82" t="s">
        <v>775</v>
      </c>
      <c r="Q9" s="82" t="s">
        <v>775</v>
      </c>
      <c r="R9" s="82" t="s">
        <v>775</v>
      </c>
      <c r="S9" s="82" t="s">
        <v>775</v>
      </c>
      <c r="T9" s="82" t="s">
        <v>775</v>
      </c>
      <c r="U9" s="82" t="s">
        <v>775</v>
      </c>
      <c r="V9" s="82" t="s">
        <v>775</v>
      </c>
      <c r="W9" s="82" t="s">
        <v>775</v>
      </c>
      <c r="X9" s="82" t="s">
        <v>775</v>
      </c>
      <c r="Y9" s="82" t="s">
        <v>775</v>
      </c>
      <c r="Z9" s="82" t="s">
        <v>775</v>
      </c>
      <c r="AA9" s="82" t="s">
        <v>775</v>
      </c>
      <c r="AB9" s="82" t="s">
        <v>775</v>
      </c>
      <c r="AC9" s="82" t="s">
        <v>775</v>
      </c>
      <c r="AD9" s="82" t="s">
        <v>775</v>
      </c>
      <c r="AE9" s="82" t="s">
        <v>775</v>
      </c>
      <c r="AF9" s="82" t="s">
        <v>775</v>
      </c>
      <c r="AG9" s="82" t="s">
        <v>775</v>
      </c>
      <c r="AH9" s="82" t="s">
        <v>775</v>
      </c>
      <c r="AI9" s="82" t="s">
        <v>775</v>
      </c>
      <c r="AJ9" s="82" t="s">
        <v>775</v>
      </c>
      <c r="AK9" s="82" t="s">
        <v>775</v>
      </c>
      <c r="AL9" s="82" t="s">
        <v>775</v>
      </c>
      <c r="AM9" s="82" t="s">
        <v>775</v>
      </c>
      <c r="AN9" s="82" t="s">
        <v>775</v>
      </c>
      <c r="AO9" s="82" t="s">
        <v>775</v>
      </c>
      <c r="AP9" s="82" t="s">
        <v>775</v>
      </c>
      <c r="AQ9" s="82" t="s">
        <v>775</v>
      </c>
      <c r="AR9" s="82" t="s">
        <v>775</v>
      </c>
    </row>
  </sheetData>
  <autoFilter ref="A1:AR4" xr:uid="{00000000-0001-0000-0000-000000000000}"/>
  <conditionalFormatting sqref="A2">
    <cfRule type="duplicateValues" dxfId="34" priority="3"/>
  </conditionalFormatting>
  <conditionalFormatting sqref="A5:A6">
    <cfRule type="duplicateValues" dxfId="33" priority="94"/>
  </conditionalFormatting>
  <conditionalFormatting sqref="A7:A9">
    <cfRule type="duplicateValues" dxfId="32" priority="2"/>
  </conditionalFormatting>
  <conditionalFormatting sqref="A10:A1048576 A1 A3:A4">
    <cfRule type="duplicateValues" dxfId="31" priority="31"/>
  </conditionalFormatting>
  <pageMargins left="0.70866141732283472" right="0.70866141732283472" top="0.74803149606299213" bottom="0.74803149606299213" header="0.31496062992125984" footer="0.31496062992125984"/>
  <pageSetup paperSize="9" scale="1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0F2A-2FE3-48A7-89C2-811C9FA06292}">
  <sheetPr>
    <pageSetUpPr fitToPage="1"/>
  </sheetPr>
  <dimension ref="A1:BB11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F11" sqref="BF11"/>
    </sheetView>
  </sheetViews>
  <sheetFormatPr baseColWidth="10" defaultColWidth="20.7109375" defaultRowHeight="11.25" outlineLevelCol="1" x14ac:dyDescent="0.25"/>
  <cols>
    <col min="1" max="1" width="40" style="69" bestFit="1" customWidth="1"/>
    <col min="2" max="2" width="17" style="69" customWidth="1"/>
    <col min="3" max="3" width="29.42578125" style="69" customWidth="1"/>
    <col min="4" max="4" width="28.5703125" style="69" customWidth="1"/>
    <col min="5" max="5" width="32.7109375" style="69" customWidth="1"/>
    <col min="6" max="6" width="20.7109375" style="69" customWidth="1" outlineLevel="1"/>
    <col min="7" max="7" width="25.28515625" style="69" customWidth="1" outlineLevel="1"/>
    <col min="8" max="8" width="27.5703125" style="69" customWidth="1"/>
    <col min="9" max="9" width="24.85546875" style="69" customWidth="1" outlineLevel="1"/>
    <col min="10" max="10" width="24.28515625" style="69" customWidth="1"/>
    <col min="11" max="11" width="26.7109375" style="69" customWidth="1"/>
    <col min="12" max="12" width="31.7109375" style="69" customWidth="1"/>
    <col min="13" max="13" width="32.7109375" style="69" customWidth="1" outlineLevel="1"/>
    <col min="14" max="14" width="25.42578125" style="69" customWidth="1"/>
    <col min="15" max="15" width="20.7109375" style="69" customWidth="1" outlineLevel="1"/>
    <col min="16" max="16" width="28.5703125" style="69" customWidth="1" outlineLevel="1"/>
    <col min="17" max="17" width="25.7109375" style="69" customWidth="1" outlineLevel="1"/>
    <col min="18" max="18" width="22.5703125" style="69" customWidth="1" outlineLevel="1"/>
    <col min="19" max="19" width="30.5703125" style="69" customWidth="1" outlineLevel="1"/>
    <col min="20" max="20" width="27" style="69" customWidth="1" outlineLevel="1"/>
    <col min="21" max="30" width="20.7109375" style="69" customWidth="1" outlineLevel="1"/>
    <col min="31" max="31" width="31.42578125" style="69" customWidth="1"/>
    <col min="32" max="33" width="20.7109375" style="69" customWidth="1"/>
    <col min="34" max="35" width="28.5703125" style="69" customWidth="1"/>
    <col min="36" max="36" width="24.28515625" style="69" customWidth="1"/>
    <col min="37" max="37" width="20.7109375" style="69" customWidth="1"/>
    <col min="38" max="49" width="20.7109375" style="69" customWidth="1" outlineLevel="1"/>
    <col min="50" max="50" width="20.7109375" style="69"/>
    <col min="51" max="51" width="20.7109375" style="69" customWidth="1" outlineLevel="1"/>
    <col min="52" max="53" width="20.7109375" style="69"/>
    <col min="54" max="54" width="31.28515625" style="69" customWidth="1" outlineLevel="1"/>
    <col min="55" max="16384" width="20.7109375" style="69"/>
  </cols>
  <sheetData>
    <row r="1" spans="1:54" ht="42" customHeight="1" x14ac:dyDescent="0.25">
      <c r="A1" s="64" t="s">
        <v>567</v>
      </c>
      <c r="B1" s="64" t="s">
        <v>568</v>
      </c>
      <c r="C1" s="64" t="s">
        <v>569</v>
      </c>
      <c r="D1" s="64" t="s">
        <v>570</v>
      </c>
      <c r="E1" s="64" t="s">
        <v>571</v>
      </c>
      <c r="F1" s="64" t="s">
        <v>572</v>
      </c>
      <c r="G1" s="64" t="s">
        <v>573</v>
      </c>
      <c r="H1" s="64" t="s">
        <v>574</v>
      </c>
      <c r="I1" s="64" t="s">
        <v>575</v>
      </c>
      <c r="J1" s="64" t="s">
        <v>576</v>
      </c>
      <c r="K1" s="64" t="s">
        <v>577</v>
      </c>
      <c r="L1" s="64" t="s">
        <v>578</v>
      </c>
      <c r="M1" s="64" t="s">
        <v>579</v>
      </c>
      <c r="N1" s="64" t="s">
        <v>580</v>
      </c>
      <c r="O1" s="64" t="s">
        <v>581</v>
      </c>
      <c r="P1" s="64" t="s">
        <v>582</v>
      </c>
      <c r="Q1" s="64" t="s">
        <v>583</v>
      </c>
      <c r="R1" s="64" t="s">
        <v>584</v>
      </c>
      <c r="S1" s="64" t="s">
        <v>585</v>
      </c>
      <c r="T1" s="64" t="s">
        <v>586</v>
      </c>
      <c r="U1" s="64" t="s">
        <v>587</v>
      </c>
      <c r="V1" s="64" t="s">
        <v>588</v>
      </c>
      <c r="W1" s="64" t="s">
        <v>589</v>
      </c>
      <c r="X1" s="64" t="s">
        <v>463</v>
      </c>
      <c r="Y1" s="64" t="s">
        <v>590</v>
      </c>
      <c r="Z1" s="64" t="s">
        <v>591</v>
      </c>
      <c r="AA1" s="64" t="s">
        <v>592</v>
      </c>
      <c r="AB1" s="64" t="s">
        <v>593</v>
      </c>
      <c r="AC1" s="64" t="s">
        <v>594</v>
      </c>
      <c r="AD1" s="64" t="s">
        <v>595</v>
      </c>
      <c r="AE1" s="64" t="s">
        <v>596</v>
      </c>
      <c r="AF1" s="64" t="s">
        <v>597</v>
      </c>
      <c r="AG1" s="64" t="s">
        <v>598</v>
      </c>
      <c r="AH1" s="75" t="s">
        <v>599</v>
      </c>
      <c r="AI1" s="75" t="s">
        <v>483</v>
      </c>
      <c r="AJ1" s="75" t="s">
        <v>600</v>
      </c>
      <c r="AK1" s="75" t="s">
        <v>601</v>
      </c>
      <c r="AL1" s="75" t="s">
        <v>602</v>
      </c>
      <c r="AM1" s="75" t="s">
        <v>603</v>
      </c>
      <c r="AN1" s="75" t="s">
        <v>604</v>
      </c>
      <c r="AO1" s="73" t="s">
        <v>605</v>
      </c>
      <c r="AP1" s="73" t="s">
        <v>606</v>
      </c>
      <c r="AQ1" s="73" t="s">
        <v>607</v>
      </c>
      <c r="AR1" s="73" t="s">
        <v>608</v>
      </c>
      <c r="AS1" s="73" t="s">
        <v>457</v>
      </c>
      <c r="AT1" s="73" t="s">
        <v>456</v>
      </c>
      <c r="AU1" s="73" t="s">
        <v>455</v>
      </c>
      <c r="AV1" s="73" t="s">
        <v>454</v>
      </c>
      <c r="AW1" s="73" t="s">
        <v>453</v>
      </c>
      <c r="AX1" s="73" t="s">
        <v>452</v>
      </c>
      <c r="AY1" s="73" t="s">
        <v>451</v>
      </c>
      <c r="AZ1" s="73" t="s">
        <v>450</v>
      </c>
      <c r="BA1" s="73" t="s">
        <v>449</v>
      </c>
      <c r="BB1" s="64" t="s">
        <v>609</v>
      </c>
    </row>
    <row r="2" spans="1:54" s="67" customFormat="1" x14ac:dyDescent="0.25">
      <c r="A2" s="64" t="s">
        <v>225</v>
      </c>
      <c r="B2" s="64" t="s">
        <v>482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72"/>
      <c r="AA2" s="64"/>
      <c r="AB2" s="64"/>
      <c r="AC2" s="64"/>
      <c r="AD2" s="72"/>
      <c r="AE2" s="72"/>
      <c r="AF2" s="72"/>
      <c r="AG2" s="72"/>
      <c r="AH2" s="72"/>
      <c r="AI2" s="72"/>
      <c r="AJ2" s="72"/>
      <c r="AK2" s="72"/>
      <c r="AL2" s="72"/>
    </row>
    <row r="3" spans="1:54" ht="45" x14ac:dyDescent="0.25">
      <c r="A3" s="70" t="s">
        <v>706</v>
      </c>
      <c r="B3" s="64" t="s">
        <v>33</v>
      </c>
      <c r="C3" s="64" t="s">
        <v>610</v>
      </c>
      <c r="D3" s="64" t="s">
        <v>621</v>
      </c>
      <c r="E3" s="64"/>
      <c r="F3" s="64" t="s">
        <v>614</v>
      </c>
      <c r="G3" s="64"/>
      <c r="H3" s="64" t="s">
        <v>622</v>
      </c>
      <c r="I3" s="64"/>
      <c r="J3" s="64" t="s">
        <v>623</v>
      </c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 t="s">
        <v>483</v>
      </c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71"/>
      <c r="AY3" s="64"/>
      <c r="AZ3" s="70"/>
      <c r="BA3" s="64"/>
      <c r="BB3" s="64"/>
    </row>
    <row r="4" spans="1:54" ht="45" x14ac:dyDescent="0.25">
      <c r="A4" s="70" t="s">
        <v>707</v>
      </c>
      <c r="B4" s="64" t="s">
        <v>33</v>
      </c>
      <c r="C4" s="64" t="s">
        <v>610</v>
      </c>
      <c r="D4" s="64" t="s">
        <v>621</v>
      </c>
      <c r="E4" s="64"/>
      <c r="F4" s="64" t="s">
        <v>614</v>
      </c>
      <c r="G4" s="64"/>
      <c r="H4" s="64" t="s">
        <v>622</v>
      </c>
      <c r="I4" s="64"/>
      <c r="J4" s="64" t="s">
        <v>623</v>
      </c>
      <c r="K4" s="64"/>
      <c r="L4" s="64"/>
      <c r="M4" s="64"/>
      <c r="N4" s="64"/>
      <c r="O4" s="64" t="s">
        <v>708</v>
      </c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 t="s">
        <v>483</v>
      </c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71"/>
      <c r="AY4" s="64"/>
      <c r="AZ4" s="70"/>
      <c r="BA4" s="64"/>
      <c r="BB4" s="64"/>
    </row>
    <row r="5" spans="1:54" ht="22.5" x14ac:dyDescent="0.25">
      <c r="A5" s="73" t="s">
        <v>731</v>
      </c>
      <c r="B5" s="64" t="s">
        <v>482</v>
      </c>
      <c r="C5" s="64"/>
      <c r="D5" s="64"/>
      <c r="E5" s="64"/>
      <c r="F5" s="64"/>
      <c r="G5" s="64"/>
      <c r="H5" s="64" t="s">
        <v>721</v>
      </c>
      <c r="I5" s="64"/>
      <c r="J5" s="64"/>
      <c r="K5" s="64" t="s">
        <v>722</v>
      </c>
      <c r="L5" s="64" t="s">
        <v>723</v>
      </c>
      <c r="M5" s="64"/>
      <c r="N5" s="64"/>
      <c r="O5" s="64" t="s">
        <v>724</v>
      </c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</row>
    <row r="6" spans="1:54" ht="22.5" x14ac:dyDescent="0.25">
      <c r="A6" s="73" t="s">
        <v>735</v>
      </c>
      <c r="B6" s="64" t="s">
        <v>482</v>
      </c>
      <c r="C6" s="64"/>
      <c r="D6" s="64"/>
      <c r="E6" s="64"/>
      <c r="F6" s="64"/>
      <c r="G6" s="64"/>
      <c r="H6" s="64"/>
      <c r="I6" s="64"/>
      <c r="J6" s="64"/>
      <c r="K6" s="64" t="s">
        <v>717</v>
      </c>
      <c r="L6" s="64" t="s">
        <v>718</v>
      </c>
      <c r="M6" s="64"/>
      <c r="N6" s="64"/>
      <c r="O6" s="64" t="s">
        <v>719</v>
      </c>
      <c r="P6" s="64" t="s">
        <v>720</v>
      </c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 t="s">
        <v>709</v>
      </c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</row>
    <row r="7" spans="1:54" ht="22.5" x14ac:dyDescent="0.25">
      <c r="A7" s="73" t="s">
        <v>740</v>
      </c>
      <c r="B7" s="64" t="s">
        <v>482</v>
      </c>
      <c r="C7" s="64"/>
      <c r="D7" s="64"/>
      <c r="E7" s="64"/>
      <c r="F7" s="64"/>
      <c r="G7" s="64"/>
      <c r="H7" s="64" t="s">
        <v>715</v>
      </c>
      <c r="I7" s="64"/>
      <c r="J7" s="64"/>
      <c r="K7" s="64" t="s">
        <v>713</v>
      </c>
      <c r="L7" s="64" t="s">
        <v>714</v>
      </c>
      <c r="M7" s="64" t="s">
        <v>710</v>
      </c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 t="s">
        <v>716</v>
      </c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</row>
    <row r="8" spans="1:54" ht="22.5" x14ac:dyDescent="0.25">
      <c r="A8" s="70" t="s">
        <v>102</v>
      </c>
      <c r="B8" s="64" t="s">
        <v>33</v>
      </c>
      <c r="C8" s="64" t="s">
        <v>610</v>
      </c>
      <c r="D8" s="64" t="s">
        <v>611</v>
      </c>
      <c r="E8" s="64" t="s">
        <v>620</v>
      </c>
      <c r="F8" s="64"/>
      <c r="G8" s="64"/>
      <c r="H8" s="64" t="s">
        <v>615</v>
      </c>
      <c r="I8" s="64" t="s">
        <v>618</v>
      </c>
      <c r="J8" s="64" t="s">
        <v>613</v>
      </c>
      <c r="K8" s="64"/>
      <c r="L8" s="64" t="s">
        <v>617</v>
      </c>
      <c r="M8" s="64"/>
      <c r="N8" s="64"/>
      <c r="O8" s="64"/>
      <c r="P8" s="64"/>
      <c r="Q8" s="64"/>
      <c r="R8" s="64"/>
      <c r="S8" s="64" t="s">
        <v>616</v>
      </c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 t="s">
        <v>612</v>
      </c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71"/>
      <c r="AR8" s="64"/>
      <c r="AS8" s="64"/>
      <c r="AT8" s="64"/>
      <c r="AU8" s="64"/>
      <c r="AV8" s="71"/>
      <c r="AW8" s="64"/>
      <c r="AX8" s="64"/>
      <c r="AY8" s="64"/>
      <c r="AZ8" s="64"/>
      <c r="BA8" s="64"/>
      <c r="BB8" s="64"/>
    </row>
    <row r="9" spans="1:54" ht="33.75" x14ac:dyDescent="0.25">
      <c r="A9" s="70" t="s">
        <v>702</v>
      </c>
      <c r="B9" s="64" t="s">
        <v>482</v>
      </c>
      <c r="C9" s="64" t="s">
        <v>682</v>
      </c>
      <c r="D9" s="64"/>
      <c r="E9" s="64"/>
      <c r="F9" s="64"/>
      <c r="G9" s="64"/>
      <c r="H9" s="64"/>
      <c r="I9" s="64"/>
      <c r="J9" s="64"/>
      <c r="K9" s="64" t="s">
        <v>711</v>
      </c>
      <c r="L9" s="64" t="s">
        <v>712</v>
      </c>
      <c r="M9" s="64"/>
      <c r="N9" s="64"/>
      <c r="O9" s="64" t="s">
        <v>703</v>
      </c>
      <c r="P9" s="64" t="s">
        <v>704</v>
      </c>
      <c r="Q9" s="64" t="s">
        <v>705</v>
      </c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 t="s">
        <v>709</v>
      </c>
      <c r="AM9" s="64"/>
      <c r="AN9" s="64"/>
      <c r="AO9" s="64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64"/>
      <c r="BB9" s="64"/>
    </row>
    <row r="10" spans="1:54" ht="90" x14ac:dyDescent="0.25">
      <c r="A10" s="70" t="s">
        <v>746</v>
      </c>
      <c r="B10" s="64" t="s">
        <v>33</v>
      </c>
      <c r="C10" s="82" t="s">
        <v>774</v>
      </c>
      <c r="D10" s="82" t="s">
        <v>774</v>
      </c>
      <c r="E10" s="82" t="s">
        <v>774</v>
      </c>
      <c r="F10" s="82" t="s">
        <v>774</v>
      </c>
      <c r="G10" s="82" t="s">
        <v>774</v>
      </c>
      <c r="H10" s="82" t="s">
        <v>774</v>
      </c>
      <c r="I10" s="82" t="s">
        <v>774</v>
      </c>
      <c r="J10" s="82" t="s">
        <v>774</v>
      </c>
      <c r="K10" s="82" t="s">
        <v>774</v>
      </c>
      <c r="L10" s="82" t="s">
        <v>774</v>
      </c>
      <c r="M10" s="82" t="s">
        <v>774</v>
      </c>
      <c r="N10" s="82" t="s">
        <v>774</v>
      </c>
      <c r="O10" s="82" t="s">
        <v>774</v>
      </c>
      <c r="P10" s="82" t="s">
        <v>774</v>
      </c>
      <c r="Q10" s="82" t="s">
        <v>774</v>
      </c>
      <c r="R10" s="82" t="s">
        <v>774</v>
      </c>
      <c r="S10" s="82" t="s">
        <v>774</v>
      </c>
      <c r="T10" s="82" t="s">
        <v>774</v>
      </c>
      <c r="U10" s="82" t="s">
        <v>774</v>
      </c>
      <c r="V10" s="82" t="s">
        <v>774</v>
      </c>
      <c r="W10" s="82" t="s">
        <v>774</v>
      </c>
      <c r="X10" s="82" t="s">
        <v>774</v>
      </c>
      <c r="Y10" s="82" t="s">
        <v>774</v>
      </c>
      <c r="Z10" s="82" t="s">
        <v>774</v>
      </c>
      <c r="AA10" s="82" t="s">
        <v>774</v>
      </c>
      <c r="AB10" s="82" t="s">
        <v>774</v>
      </c>
      <c r="AC10" s="82" t="s">
        <v>774</v>
      </c>
      <c r="AD10" s="82" t="s">
        <v>774</v>
      </c>
      <c r="AE10" s="82" t="s">
        <v>774</v>
      </c>
      <c r="AF10" s="82" t="s">
        <v>774</v>
      </c>
      <c r="AG10" s="82" t="s">
        <v>774</v>
      </c>
      <c r="AH10" s="82" t="s">
        <v>774</v>
      </c>
      <c r="AI10" s="82" t="s">
        <v>774</v>
      </c>
      <c r="AJ10" s="82" t="s">
        <v>774</v>
      </c>
      <c r="AK10" s="82" t="s">
        <v>774</v>
      </c>
      <c r="AL10" s="82" t="s">
        <v>774</v>
      </c>
      <c r="AM10" s="82" t="s">
        <v>774</v>
      </c>
      <c r="AN10" s="82" t="s">
        <v>774</v>
      </c>
      <c r="AO10" s="82" t="s">
        <v>774</v>
      </c>
      <c r="AP10" s="82" t="s">
        <v>774</v>
      </c>
      <c r="AQ10" s="82" t="s">
        <v>774</v>
      </c>
      <c r="AR10" s="82" t="s">
        <v>774</v>
      </c>
      <c r="AS10" s="82" t="s">
        <v>774</v>
      </c>
      <c r="AT10" s="82" t="s">
        <v>774</v>
      </c>
      <c r="AU10" s="82" t="s">
        <v>774</v>
      </c>
      <c r="AV10" s="82" t="s">
        <v>774</v>
      </c>
      <c r="AW10" s="82" t="s">
        <v>774</v>
      </c>
      <c r="AX10" s="82" t="s">
        <v>774</v>
      </c>
      <c r="AY10" s="82" t="s">
        <v>774</v>
      </c>
      <c r="AZ10" s="82" t="s">
        <v>774</v>
      </c>
      <c r="BA10" s="82" t="s">
        <v>774</v>
      </c>
      <c r="BB10" s="82" t="s">
        <v>774</v>
      </c>
    </row>
    <row r="11" spans="1:54" ht="90" x14ac:dyDescent="0.25">
      <c r="A11" s="70" t="s">
        <v>749</v>
      </c>
      <c r="B11" s="64" t="s">
        <v>482</v>
      </c>
      <c r="C11" s="82" t="s">
        <v>775</v>
      </c>
      <c r="D11" s="82" t="s">
        <v>775</v>
      </c>
      <c r="E11" s="82" t="s">
        <v>775</v>
      </c>
      <c r="F11" s="82" t="s">
        <v>775</v>
      </c>
      <c r="G11" s="82" t="s">
        <v>775</v>
      </c>
      <c r="H11" s="82" t="s">
        <v>775</v>
      </c>
      <c r="I11" s="82" t="s">
        <v>775</v>
      </c>
      <c r="J11" s="82" t="s">
        <v>775</v>
      </c>
      <c r="K11" s="82" t="s">
        <v>775</v>
      </c>
      <c r="L11" s="82" t="s">
        <v>775</v>
      </c>
      <c r="M11" s="82" t="s">
        <v>775</v>
      </c>
      <c r="N11" s="82" t="s">
        <v>775</v>
      </c>
      <c r="O11" s="82" t="s">
        <v>775</v>
      </c>
      <c r="P11" s="82" t="s">
        <v>775</v>
      </c>
      <c r="Q11" s="82" t="s">
        <v>775</v>
      </c>
      <c r="R11" s="82" t="s">
        <v>775</v>
      </c>
      <c r="S11" s="82" t="s">
        <v>775</v>
      </c>
      <c r="T11" s="82" t="s">
        <v>775</v>
      </c>
      <c r="U11" s="82" t="s">
        <v>775</v>
      </c>
      <c r="V11" s="82" t="s">
        <v>775</v>
      </c>
      <c r="W11" s="82" t="s">
        <v>775</v>
      </c>
      <c r="X11" s="82" t="s">
        <v>775</v>
      </c>
      <c r="Y11" s="82" t="s">
        <v>775</v>
      </c>
      <c r="Z11" s="82" t="s">
        <v>775</v>
      </c>
      <c r="AA11" s="82" t="s">
        <v>775</v>
      </c>
      <c r="AB11" s="82" t="s">
        <v>775</v>
      </c>
      <c r="AC11" s="82" t="s">
        <v>775</v>
      </c>
      <c r="AD11" s="82" t="s">
        <v>775</v>
      </c>
      <c r="AE11" s="82" t="s">
        <v>775</v>
      </c>
      <c r="AF11" s="82" t="s">
        <v>775</v>
      </c>
      <c r="AG11" s="82" t="s">
        <v>775</v>
      </c>
      <c r="AH11" s="82" t="s">
        <v>775</v>
      </c>
      <c r="AI11" s="82" t="s">
        <v>775</v>
      </c>
      <c r="AJ11" s="82" t="s">
        <v>775</v>
      </c>
      <c r="AK11" s="82" t="s">
        <v>775</v>
      </c>
      <c r="AL11" s="82" t="s">
        <v>775</v>
      </c>
      <c r="AM11" s="82" t="s">
        <v>775</v>
      </c>
      <c r="AN11" s="82" t="s">
        <v>775</v>
      </c>
      <c r="AO11" s="82" t="s">
        <v>775</v>
      </c>
      <c r="AP11" s="82" t="s">
        <v>775</v>
      </c>
      <c r="AQ11" s="82" t="s">
        <v>775</v>
      </c>
      <c r="AR11" s="82" t="s">
        <v>775</v>
      </c>
      <c r="AS11" s="82" t="s">
        <v>775</v>
      </c>
      <c r="AT11" s="82" t="s">
        <v>775</v>
      </c>
      <c r="AU11" s="82" t="s">
        <v>775</v>
      </c>
      <c r="AV11" s="82" t="s">
        <v>775</v>
      </c>
      <c r="AW11" s="82" t="s">
        <v>775</v>
      </c>
      <c r="AX11" s="82" t="s">
        <v>775</v>
      </c>
      <c r="AY11" s="82" t="s">
        <v>775</v>
      </c>
      <c r="AZ11" s="82" t="s">
        <v>775</v>
      </c>
      <c r="BA11" s="82" t="s">
        <v>775</v>
      </c>
      <c r="BB11" s="82" t="s">
        <v>775</v>
      </c>
    </row>
  </sheetData>
  <autoFilter ref="A1:BB4" xr:uid="{00000000-0001-0000-0000-000000000000}"/>
  <conditionalFormatting sqref="A2">
    <cfRule type="duplicateValues" dxfId="30" priority="4"/>
  </conditionalFormatting>
  <conditionalFormatting sqref="A5:A7">
    <cfRule type="duplicateValues" dxfId="29" priority="13"/>
    <cfRule type="duplicateValues" dxfId="28" priority="14"/>
  </conditionalFormatting>
  <conditionalFormatting sqref="A8">
    <cfRule type="duplicateValues" dxfId="27" priority="10"/>
    <cfRule type="duplicateValues" dxfId="26" priority="11"/>
    <cfRule type="duplicateValues" dxfId="25" priority="12"/>
  </conditionalFormatting>
  <conditionalFormatting sqref="A9">
    <cfRule type="duplicateValues" dxfId="24" priority="8"/>
    <cfRule type="duplicateValues" dxfId="23" priority="9"/>
  </conditionalFormatting>
  <conditionalFormatting sqref="A10:A11">
    <cfRule type="duplicateValues" dxfId="22" priority="1"/>
    <cfRule type="duplicateValues" dxfId="21" priority="2"/>
    <cfRule type="duplicateValues" dxfId="20" priority="3"/>
  </conditionalFormatting>
  <conditionalFormatting sqref="A12:A1048576 A1 A3:A4">
    <cfRule type="duplicateValues" dxfId="19" priority="54"/>
    <cfRule type="duplicateValues" dxfId="18" priority="55"/>
    <cfRule type="duplicateValues" dxfId="17" priority="56"/>
  </conditionalFormatting>
  <pageMargins left="0.70866141732283472" right="0.70866141732283472" top="0.74803149606299213" bottom="0.74803149606299213" header="0.31496062992125984" footer="0.31496062992125984"/>
  <pageSetup paperSize="9" scale="10" fitToWidth="2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C6BB6-F881-4553-AB01-2AFF7A9EE284}">
  <dimension ref="A1:AL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1" sqref="E11"/>
    </sheetView>
  </sheetViews>
  <sheetFormatPr baseColWidth="10" defaultRowHeight="15" x14ac:dyDescent="0.25"/>
  <cols>
    <col min="1" max="1" width="64.7109375" style="65" bestFit="1" customWidth="1"/>
    <col min="2" max="2" width="11.42578125" style="65"/>
    <col min="3" max="34" width="22" style="65" customWidth="1"/>
    <col min="35" max="16384" width="11.42578125" style="65"/>
  </cols>
  <sheetData>
    <row r="1" spans="1:38" s="66" customFormat="1" ht="33.75" x14ac:dyDescent="0.25">
      <c r="A1" s="64" t="s">
        <v>624</v>
      </c>
      <c r="B1" s="70" t="s">
        <v>481</v>
      </c>
      <c r="C1" s="64" t="s">
        <v>625</v>
      </c>
      <c r="D1" s="64" t="s">
        <v>626</v>
      </c>
      <c r="E1" s="64" t="s">
        <v>627</v>
      </c>
      <c r="F1" s="64" t="s">
        <v>628</v>
      </c>
      <c r="G1" s="64" t="s">
        <v>629</v>
      </c>
      <c r="H1" s="64" t="s">
        <v>630</v>
      </c>
      <c r="I1" s="64" t="s">
        <v>631</v>
      </c>
      <c r="J1" s="64" t="s">
        <v>632</v>
      </c>
      <c r="K1" s="64" t="s">
        <v>633</v>
      </c>
      <c r="L1" s="64" t="s">
        <v>634</v>
      </c>
      <c r="M1" s="64" t="s">
        <v>635</v>
      </c>
      <c r="N1" s="64" t="s">
        <v>636</v>
      </c>
      <c r="O1" s="64" t="s">
        <v>619</v>
      </c>
      <c r="P1" s="72" t="s">
        <v>637</v>
      </c>
      <c r="Q1" s="72" t="s">
        <v>522</v>
      </c>
      <c r="R1" s="72" t="s">
        <v>602</v>
      </c>
      <c r="S1" s="64" t="s">
        <v>603</v>
      </c>
      <c r="T1" s="64" t="s">
        <v>604</v>
      </c>
      <c r="U1" s="73" t="s">
        <v>638</v>
      </c>
      <c r="V1" s="73" t="s">
        <v>639</v>
      </c>
      <c r="W1" s="73" t="s">
        <v>640</v>
      </c>
      <c r="X1" s="71" t="s">
        <v>641</v>
      </c>
      <c r="Y1" s="72" t="s">
        <v>506</v>
      </c>
      <c r="Z1" s="73" t="s">
        <v>642</v>
      </c>
      <c r="AA1" s="64" t="s">
        <v>455</v>
      </c>
      <c r="AB1" s="64" t="s">
        <v>454</v>
      </c>
      <c r="AC1" s="64" t="s">
        <v>453</v>
      </c>
      <c r="AD1" s="64" t="s">
        <v>452</v>
      </c>
      <c r="AE1" s="64" t="s">
        <v>451</v>
      </c>
      <c r="AF1" s="64" t="s">
        <v>450</v>
      </c>
      <c r="AG1" s="64" t="s">
        <v>449</v>
      </c>
      <c r="AH1" s="64" t="s">
        <v>448</v>
      </c>
    </row>
    <row r="2" spans="1:38" s="67" customFormat="1" ht="11.25" x14ac:dyDescent="0.25">
      <c r="A2" s="64" t="s">
        <v>224</v>
      </c>
      <c r="B2" s="64" t="s">
        <v>482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72"/>
      <c r="AA2" s="64"/>
      <c r="AB2" s="64"/>
      <c r="AC2" s="64"/>
      <c r="AD2" s="72"/>
      <c r="AE2" s="72"/>
      <c r="AF2" s="72"/>
      <c r="AG2" s="72"/>
      <c r="AH2" s="72"/>
      <c r="AI2" s="72"/>
      <c r="AJ2" s="72"/>
      <c r="AK2" s="72"/>
      <c r="AL2" s="72"/>
    </row>
    <row r="3" spans="1:38" s="66" customFormat="1" ht="33.75" x14ac:dyDescent="0.25">
      <c r="A3" s="72" t="s">
        <v>420</v>
      </c>
      <c r="B3" s="64" t="s">
        <v>33</v>
      </c>
      <c r="C3" s="64" t="s">
        <v>650</v>
      </c>
      <c r="D3" s="64" t="s">
        <v>654</v>
      </c>
      <c r="E3" s="64"/>
      <c r="F3" s="64" t="s">
        <v>648</v>
      </c>
      <c r="G3" s="64" t="s">
        <v>645</v>
      </c>
      <c r="H3" s="64" t="s">
        <v>646</v>
      </c>
      <c r="I3" s="64" t="s">
        <v>651</v>
      </c>
      <c r="J3" s="64"/>
      <c r="K3" s="64"/>
      <c r="L3" s="64"/>
      <c r="M3" s="64" t="s">
        <v>652</v>
      </c>
      <c r="N3" s="64" t="s">
        <v>653</v>
      </c>
      <c r="O3" s="64"/>
      <c r="P3" s="64"/>
      <c r="Q3" s="64"/>
      <c r="R3" s="64"/>
      <c r="S3" s="72"/>
      <c r="T3" s="64"/>
      <c r="U3" s="70" t="s">
        <v>638</v>
      </c>
      <c r="V3" s="64" t="s">
        <v>647</v>
      </c>
      <c r="W3" s="71"/>
      <c r="X3" s="64"/>
      <c r="Y3" s="72"/>
      <c r="Z3" s="64"/>
      <c r="AA3" s="64"/>
      <c r="AB3" s="64"/>
      <c r="AC3" s="64"/>
      <c r="AD3" s="71"/>
      <c r="AE3" s="64"/>
      <c r="AF3" s="70"/>
      <c r="AG3" s="64"/>
      <c r="AH3" s="73"/>
    </row>
    <row r="4" spans="1:38" s="66" customFormat="1" ht="33.75" x14ac:dyDescent="0.25">
      <c r="A4" s="64" t="s">
        <v>752</v>
      </c>
      <c r="B4" s="64" t="s">
        <v>482</v>
      </c>
      <c r="C4" s="64"/>
      <c r="D4" s="64"/>
      <c r="E4" s="64"/>
      <c r="F4" s="64"/>
      <c r="G4" s="64"/>
      <c r="H4" s="64"/>
      <c r="I4" s="64"/>
      <c r="J4" s="72"/>
      <c r="K4" s="64"/>
      <c r="L4" s="64" t="s">
        <v>771</v>
      </c>
      <c r="M4" s="64"/>
      <c r="N4" s="64"/>
      <c r="O4" s="64"/>
      <c r="P4" s="64"/>
      <c r="Q4" s="64"/>
      <c r="R4" s="64"/>
      <c r="S4" s="64"/>
      <c r="T4" s="64"/>
      <c r="U4" s="70"/>
      <c r="V4" s="64"/>
      <c r="W4" s="64"/>
      <c r="X4" s="64"/>
      <c r="Y4" s="64"/>
      <c r="Z4" s="64"/>
      <c r="AA4" s="72"/>
      <c r="AB4" s="71"/>
      <c r="AC4" s="72"/>
      <c r="AD4" s="72"/>
      <c r="AE4" s="72"/>
      <c r="AF4" s="72"/>
      <c r="AG4" s="72"/>
      <c r="AH4" s="72"/>
    </row>
    <row r="5" spans="1:38" s="66" customFormat="1" ht="33.75" x14ac:dyDescent="0.25">
      <c r="A5" s="64" t="s">
        <v>768</v>
      </c>
      <c r="B5" s="64" t="s">
        <v>482</v>
      </c>
      <c r="C5" s="64"/>
      <c r="D5" s="64"/>
      <c r="E5" s="64"/>
      <c r="F5" s="64"/>
      <c r="G5" s="64"/>
      <c r="H5" s="64"/>
      <c r="I5" s="64"/>
      <c r="J5" s="72"/>
      <c r="K5" s="64"/>
      <c r="L5" s="64" t="s">
        <v>772</v>
      </c>
      <c r="M5" s="64"/>
      <c r="N5" s="64"/>
      <c r="O5" s="64"/>
      <c r="P5" s="64"/>
      <c r="Q5" s="64"/>
      <c r="R5" s="64" t="s">
        <v>773</v>
      </c>
      <c r="S5" s="64"/>
      <c r="T5" s="64"/>
      <c r="U5" s="70"/>
      <c r="V5" s="64"/>
      <c r="W5" s="64"/>
      <c r="X5" s="64"/>
      <c r="Y5" s="64"/>
      <c r="Z5" s="64"/>
      <c r="AA5" s="72"/>
      <c r="AB5" s="71"/>
      <c r="AC5" s="72"/>
      <c r="AD5" s="72"/>
      <c r="AE5" s="72"/>
      <c r="AF5" s="72"/>
      <c r="AG5" s="72"/>
      <c r="AH5" s="72"/>
    </row>
    <row r="6" spans="1:38" s="66" customFormat="1" ht="33.75" x14ac:dyDescent="0.25">
      <c r="A6" s="70" t="s">
        <v>173</v>
      </c>
      <c r="B6" s="73" t="s">
        <v>33</v>
      </c>
      <c r="C6" s="64" t="s">
        <v>643</v>
      </c>
      <c r="D6" s="64" t="s">
        <v>655</v>
      </c>
      <c r="E6" s="64" t="s">
        <v>644</v>
      </c>
      <c r="F6" s="64" t="s">
        <v>648</v>
      </c>
      <c r="G6" s="64" t="s">
        <v>645</v>
      </c>
      <c r="H6" s="64" t="s">
        <v>646</v>
      </c>
      <c r="I6" s="64" t="s">
        <v>649</v>
      </c>
      <c r="J6" s="64"/>
      <c r="K6" s="64"/>
      <c r="L6" s="64"/>
      <c r="M6" s="64" t="s">
        <v>656</v>
      </c>
      <c r="N6" s="64" t="s">
        <v>657</v>
      </c>
      <c r="O6" s="64"/>
      <c r="P6" s="64"/>
      <c r="Q6" s="64"/>
      <c r="R6" s="64"/>
      <c r="S6" s="72"/>
      <c r="T6" s="64"/>
      <c r="U6" s="70" t="s">
        <v>638</v>
      </c>
      <c r="V6" s="64" t="s">
        <v>647</v>
      </c>
      <c r="W6" s="71"/>
      <c r="X6" s="64"/>
      <c r="Y6" s="72"/>
      <c r="Z6" s="64"/>
      <c r="AA6" s="64"/>
      <c r="AB6" s="71"/>
      <c r="AC6" s="64"/>
      <c r="AD6" s="64"/>
      <c r="AE6" s="73"/>
      <c r="AF6" s="70"/>
      <c r="AG6" s="64"/>
      <c r="AH6" s="64"/>
    </row>
    <row r="7" spans="1:38" s="66" customFormat="1" ht="33.75" x14ac:dyDescent="0.25">
      <c r="A7" s="64" t="s">
        <v>753</v>
      </c>
      <c r="B7" s="64" t="s">
        <v>482</v>
      </c>
      <c r="C7" s="64"/>
      <c r="D7" s="64" t="s">
        <v>769</v>
      </c>
      <c r="E7" s="64"/>
      <c r="F7" s="64"/>
      <c r="G7" s="64"/>
      <c r="H7" s="64"/>
      <c r="I7" s="64"/>
      <c r="J7" s="64"/>
      <c r="K7" s="64"/>
      <c r="L7" s="64" t="s">
        <v>770</v>
      </c>
      <c r="M7" s="64"/>
      <c r="N7" s="64"/>
      <c r="O7" s="64"/>
      <c r="P7" s="64"/>
      <c r="Q7" s="64"/>
      <c r="R7" s="64"/>
      <c r="S7" s="64"/>
      <c r="T7" s="64"/>
      <c r="U7" s="70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</row>
    <row r="8" spans="1:38" s="66" customFormat="1" ht="90" x14ac:dyDescent="0.25">
      <c r="A8" s="70" t="s">
        <v>747</v>
      </c>
      <c r="B8" s="73" t="s">
        <v>33</v>
      </c>
      <c r="C8" s="82" t="s">
        <v>774</v>
      </c>
      <c r="D8" s="82" t="s">
        <v>774</v>
      </c>
      <c r="E8" s="82" t="s">
        <v>774</v>
      </c>
      <c r="F8" s="82" t="s">
        <v>774</v>
      </c>
      <c r="G8" s="82" t="s">
        <v>774</v>
      </c>
      <c r="H8" s="82" t="s">
        <v>774</v>
      </c>
      <c r="I8" s="82" t="s">
        <v>774</v>
      </c>
      <c r="J8" s="82" t="s">
        <v>774</v>
      </c>
      <c r="K8" s="82" t="s">
        <v>774</v>
      </c>
      <c r="L8" s="82" t="s">
        <v>774</v>
      </c>
      <c r="M8" s="82" t="s">
        <v>774</v>
      </c>
      <c r="N8" s="82" t="s">
        <v>774</v>
      </c>
      <c r="O8" s="82" t="s">
        <v>774</v>
      </c>
      <c r="P8" s="82" t="s">
        <v>774</v>
      </c>
      <c r="Q8" s="82" t="s">
        <v>774</v>
      </c>
      <c r="R8" s="82" t="s">
        <v>774</v>
      </c>
      <c r="S8" s="82" t="s">
        <v>774</v>
      </c>
      <c r="T8" s="82" t="s">
        <v>774</v>
      </c>
      <c r="U8" s="82" t="s">
        <v>774</v>
      </c>
      <c r="V8" s="82" t="s">
        <v>774</v>
      </c>
      <c r="W8" s="82" t="s">
        <v>774</v>
      </c>
      <c r="X8" s="82" t="s">
        <v>774</v>
      </c>
      <c r="Y8" s="82" t="s">
        <v>774</v>
      </c>
      <c r="Z8" s="82" t="s">
        <v>774</v>
      </c>
      <c r="AA8" s="82" t="s">
        <v>774</v>
      </c>
      <c r="AB8" s="82" t="s">
        <v>774</v>
      </c>
      <c r="AC8" s="82" t="s">
        <v>774</v>
      </c>
      <c r="AD8" s="82" t="s">
        <v>774</v>
      </c>
      <c r="AE8" s="82" t="s">
        <v>774</v>
      </c>
      <c r="AF8" s="82" t="s">
        <v>774</v>
      </c>
      <c r="AG8" s="82" t="s">
        <v>774</v>
      </c>
      <c r="AH8" s="82" t="s">
        <v>774</v>
      </c>
    </row>
    <row r="9" spans="1:38" s="66" customFormat="1" ht="90" x14ac:dyDescent="0.25">
      <c r="A9" s="64" t="s">
        <v>750</v>
      </c>
      <c r="B9" s="64" t="s">
        <v>482</v>
      </c>
      <c r="C9" s="82" t="s">
        <v>775</v>
      </c>
      <c r="D9" s="82" t="s">
        <v>775</v>
      </c>
      <c r="E9" s="82" t="s">
        <v>775</v>
      </c>
      <c r="F9" s="82" t="s">
        <v>775</v>
      </c>
      <c r="G9" s="82" t="s">
        <v>775</v>
      </c>
      <c r="H9" s="82" t="s">
        <v>775</v>
      </c>
      <c r="I9" s="82" t="s">
        <v>775</v>
      </c>
      <c r="J9" s="82" t="s">
        <v>775</v>
      </c>
      <c r="K9" s="82" t="s">
        <v>775</v>
      </c>
      <c r="L9" s="82" t="s">
        <v>775</v>
      </c>
      <c r="M9" s="82" t="s">
        <v>775</v>
      </c>
      <c r="N9" s="82" t="s">
        <v>775</v>
      </c>
      <c r="O9" s="82" t="s">
        <v>775</v>
      </c>
      <c r="P9" s="82" t="s">
        <v>775</v>
      </c>
      <c r="Q9" s="82" t="s">
        <v>775</v>
      </c>
      <c r="R9" s="82" t="s">
        <v>775</v>
      </c>
      <c r="S9" s="82" t="s">
        <v>775</v>
      </c>
      <c r="T9" s="82" t="s">
        <v>775</v>
      </c>
      <c r="U9" s="82" t="s">
        <v>775</v>
      </c>
      <c r="V9" s="82" t="s">
        <v>775</v>
      </c>
      <c r="W9" s="82" t="s">
        <v>775</v>
      </c>
      <c r="X9" s="82" t="s">
        <v>775</v>
      </c>
      <c r="Y9" s="82" t="s">
        <v>775</v>
      </c>
      <c r="Z9" s="82" t="s">
        <v>775</v>
      </c>
      <c r="AA9" s="82" t="s">
        <v>775</v>
      </c>
      <c r="AB9" s="82" t="s">
        <v>775</v>
      </c>
      <c r="AC9" s="82" t="s">
        <v>775</v>
      </c>
      <c r="AD9" s="82" t="s">
        <v>775</v>
      </c>
      <c r="AE9" s="82" t="s">
        <v>775</v>
      </c>
      <c r="AF9" s="82" t="s">
        <v>775</v>
      </c>
      <c r="AG9" s="82" t="s">
        <v>775</v>
      </c>
      <c r="AH9" s="82" t="s">
        <v>775</v>
      </c>
    </row>
  </sheetData>
  <autoFilter ref="A1:AH5" xr:uid="{EECC34F7-26A1-4100-90B5-06605AD60BCB}"/>
  <conditionalFormatting sqref="A1 A3">
    <cfRule type="duplicateValues" dxfId="16" priority="99"/>
    <cfRule type="duplicateValues" dxfId="15" priority="100"/>
    <cfRule type="duplicateValues" dxfId="14" priority="101"/>
  </conditionalFormatting>
  <conditionalFormatting sqref="A2">
    <cfRule type="duplicateValues" dxfId="13" priority="5"/>
  </conditionalFormatting>
  <conditionalFormatting sqref="A4:A5">
    <cfRule type="duplicateValues" dxfId="12" priority="10"/>
  </conditionalFormatting>
  <conditionalFormatting sqref="A6">
    <cfRule type="duplicateValues" dxfId="11" priority="7"/>
    <cfRule type="duplicateValues" dxfId="10" priority="8"/>
    <cfRule type="duplicateValues" dxfId="9" priority="9"/>
  </conditionalFormatting>
  <conditionalFormatting sqref="A7">
    <cfRule type="duplicateValues" dxfId="8" priority="6"/>
  </conditionalFormatting>
  <conditionalFormatting sqref="A8">
    <cfRule type="duplicateValues" dxfId="7" priority="2"/>
    <cfRule type="duplicateValues" dxfId="6" priority="3"/>
    <cfRule type="duplicateValues" dxfId="5" priority="4"/>
  </conditionalFormatting>
  <conditionalFormatting sqref="A9">
    <cfRule type="duplicateValues" dxfId="4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E1BFF-693D-47C1-A14D-7BD64454DF3F}">
  <dimension ref="A1:AL6"/>
  <sheetViews>
    <sheetView tabSelected="1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8" sqref="H18"/>
    </sheetView>
  </sheetViews>
  <sheetFormatPr baseColWidth="10" defaultColWidth="11.42578125" defaultRowHeight="11.25" x14ac:dyDescent="0.25"/>
  <cols>
    <col min="1" max="1" width="47.7109375" style="66" bestFit="1" customWidth="1"/>
    <col min="2" max="2" width="9" style="66" customWidth="1"/>
    <col min="3" max="3" width="20.7109375" style="66" customWidth="1"/>
    <col min="4" max="4" width="26.28515625" style="66" customWidth="1"/>
    <col min="5" max="5" width="19.140625" style="66" bestFit="1" customWidth="1"/>
    <col min="6" max="6" width="20.7109375" style="66" customWidth="1"/>
    <col min="7" max="7" width="32.140625" style="66" customWidth="1"/>
    <col min="8" max="11" width="20.7109375" style="66" customWidth="1"/>
    <col min="12" max="12" width="28" style="66" customWidth="1"/>
    <col min="13" max="13" width="20.7109375" style="66" customWidth="1"/>
    <col min="14" max="14" width="20.7109375" style="69" customWidth="1"/>
    <col min="15" max="15" width="20.7109375" style="68" customWidth="1"/>
    <col min="16" max="16" width="20.7109375" style="69" customWidth="1"/>
    <col min="17" max="17" width="20.7109375" style="68" customWidth="1"/>
    <col min="18" max="33" width="20.7109375" style="66" customWidth="1"/>
    <col min="34" max="16384" width="11.42578125" style="66"/>
  </cols>
  <sheetData>
    <row r="1" spans="1:38" ht="22.5" x14ac:dyDescent="0.25">
      <c r="A1" s="70" t="s">
        <v>658</v>
      </c>
      <c r="B1" s="70" t="s">
        <v>481</v>
      </c>
      <c r="C1" s="70" t="s">
        <v>1</v>
      </c>
      <c r="D1" s="70" t="s">
        <v>659</v>
      </c>
      <c r="E1" s="70" t="s">
        <v>660</v>
      </c>
      <c r="F1" s="70" t="s">
        <v>661</v>
      </c>
      <c r="G1" s="70" t="s">
        <v>488</v>
      </c>
      <c r="H1" s="70" t="s">
        <v>662</v>
      </c>
      <c r="I1" s="70" t="s">
        <v>663</v>
      </c>
      <c r="J1" s="70" t="s">
        <v>664</v>
      </c>
      <c r="K1" s="70" t="s">
        <v>665</v>
      </c>
      <c r="L1" s="70" t="s">
        <v>666</v>
      </c>
      <c r="M1" s="70" t="s">
        <v>667</v>
      </c>
      <c r="N1" s="70" t="s">
        <v>668</v>
      </c>
      <c r="O1" s="73" t="s">
        <v>669</v>
      </c>
      <c r="P1" s="75" t="s">
        <v>670</v>
      </c>
      <c r="Q1" s="73" t="s">
        <v>671</v>
      </c>
      <c r="R1" s="71" t="s">
        <v>672</v>
      </c>
      <c r="S1" s="71" t="s">
        <v>604</v>
      </c>
      <c r="T1" s="71" t="s">
        <v>605</v>
      </c>
      <c r="U1" s="71" t="s">
        <v>606</v>
      </c>
      <c r="V1" s="71" t="s">
        <v>607</v>
      </c>
      <c r="W1" s="71" t="s">
        <v>608</v>
      </c>
      <c r="X1" s="71" t="s">
        <v>457</v>
      </c>
      <c r="Y1" s="71" t="s">
        <v>456</v>
      </c>
      <c r="Z1" s="71" t="s">
        <v>455</v>
      </c>
      <c r="AA1" s="71" t="s">
        <v>454</v>
      </c>
      <c r="AB1" s="71" t="s">
        <v>453</v>
      </c>
      <c r="AC1" s="71" t="s">
        <v>452</v>
      </c>
      <c r="AD1" s="71" t="s">
        <v>451</v>
      </c>
      <c r="AE1" s="71" t="s">
        <v>450</v>
      </c>
      <c r="AF1" s="71" t="s">
        <v>449</v>
      </c>
      <c r="AG1" s="71" t="s">
        <v>448</v>
      </c>
    </row>
    <row r="2" spans="1:38" s="67" customFormat="1" x14ac:dyDescent="0.25">
      <c r="A2" s="64" t="s">
        <v>97</v>
      </c>
      <c r="B2" s="64" t="s">
        <v>482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72"/>
      <c r="AA2" s="64"/>
      <c r="AB2" s="64"/>
      <c r="AC2" s="64"/>
      <c r="AD2" s="72"/>
      <c r="AE2" s="72"/>
      <c r="AF2" s="72"/>
      <c r="AG2" s="72"/>
      <c r="AH2" s="72"/>
      <c r="AI2" s="72"/>
      <c r="AJ2" s="72"/>
      <c r="AK2" s="72"/>
      <c r="AL2" s="72"/>
    </row>
    <row r="3" spans="1:38" ht="33.75" x14ac:dyDescent="0.25">
      <c r="A3" s="70" t="s">
        <v>695</v>
      </c>
      <c r="B3" s="80" t="s">
        <v>33</v>
      </c>
      <c r="C3" s="70" t="s">
        <v>673</v>
      </c>
      <c r="D3" s="78"/>
      <c r="E3" s="70" t="s">
        <v>674</v>
      </c>
      <c r="F3" s="70" t="s">
        <v>675</v>
      </c>
      <c r="G3" s="70" t="s">
        <v>676</v>
      </c>
      <c r="H3" s="70" t="s">
        <v>677</v>
      </c>
      <c r="I3" s="70" t="s">
        <v>678</v>
      </c>
      <c r="J3" s="70"/>
      <c r="K3" s="70" t="s">
        <v>679</v>
      </c>
      <c r="L3" s="70" t="s">
        <v>680</v>
      </c>
      <c r="M3" s="70"/>
      <c r="N3" s="70" t="s">
        <v>681</v>
      </c>
      <c r="O3" s="64"/>
      <c r="P3" s="81"/>
      <c r="Q3" s="72"/>
      <c r="R3" s="72"/>
      <c r="S3" s="72"/>
      <c r="T3" s="72"/>
      <c r="U3" s="72"/>
      <c r="V3" s="72"/>
      <c r="W3" s="72"/>
      <c r="X3" s="72"/>
      <c r="Y3" s="72"/>
      <c r="Z3" s="72"/>
      <c r="AA3" s="71"/>
      <c r="AB3" s="72"/>
      <c r="AC3" s="71"/>
      <c r="AD3" s="72"/>
      <c r="AE3" s="70"/>
      <c r="AF3" s="72"/>
      <c r="AG3" s="72"/>
    </row>
    <row r="4" spans="1:38" s="68" customFormat="1" ht="33.75" x14ac:dyDescent="0.25">
      <c r="A4" s="70" t="s">
        <v>755</v>
      </c>
      <c r="B4" s="77" t="s">
        <v>482</v>
      </c>
      <c r="C4" s="70"/>
      <c r="D4" s="78"/>
      <c r="E4" s="70"/>
      <c r="F4" s="70"/>
      <c r="G4" s="70" t="s">
        <v>725</v>
      </c>
      <c r="H4" s="70"/>
      <c r="I4" s="70"/>
      <c r="J4" s="70"/>
      <c r="K4" s="70"/>
      <c r="L4" s="70"/>
      <c r="M4" s="70"/>
      <c r="N4" s="70"/>
      <c r="O4" s="72"/>
      <c r="P4" s="79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</row>
    <row r="5" spans="1:38" ht="101.25" x14ac:dyDescent="0.25">
      <c r="A5" s="70" t="s">
        <v>748</v>
      </c>
      <c r="B5" s="80" t="s">
        <v>33</v>
      </c>
      <c r="C5" s="82" t="s">
        <v>774</v>
      </c>
      <c r="D5" s="82" t="s">
        <v>774</v>
      </c>
      <c r="E5" s="82" t="s">
        <v>774</v>
      </c>
      <c r="F5" s="82" t="s">
        <v>774</v>
      </c>
      <c r="G5" s="82" t="s">
        <v>774</v>
      </c>
      <c r="H5" s="82" t="s">
        <v>774</v>
      </c>
      <c r="I5" s="82" t="s">
        <v>774</v>
      </c>
      <c r="J5" s="82" t="s">
        <v>774</v>
      </c>
      <c r="K5" s="82" t="s">
        <v>774</v>
      </c>
      <c r="L5" s="82" t="s">
        <v>774</v>
      </c>
      <c r="M5" s="82" t="s">
        <v>774</v>
      </c>
      <c r="N5" s="82" t="s">
        <v>774</v>
      </c>
      <c r="O5" s="82" t="s">
        <v>774</v>
      </c>
      <c r="P5" s="82" t="s">
        <v>774</v>
      </c>
      <c r="Q5" s="82" t="s">
        <v>774</v>
      </c>
      <c r="R5" s="82" t="s">
        <v>774</v>
      </c>
      <c r="S5" s="82" t="s">
        <v>774</v>
      </c>
      <c r="T5" s="82" t="s">
        <v>774</v>
      </c>
      <c r="U5" s="82" t="s">
        <v>774</v>
      </c>
      <c r="V5" s="82" t="s">
        <v>774</v>
      </c>
      <c r="W5" s="82" t="s">
        <v>774</v>
      </c>
      <c r="X5" s="82" t="s">
        <v>774</v>
      </c>
      <c r="Y5" s="82" t="s">
        <v>774</v>
      </c>
      <c r="Z5" s="82" t="s">
        <v>774</v>
      </c>
      <c r="AA5" s="82" t="s">
        <v>774</v>
      </c>
      <c r="AB5" s="82" t="s">
        <v>774</v>
      </c>
      <c r="AC5" s="82" t="s">
        <v>774</v>
      </c>
      <c r="AD5" s="82" t="s">
        <v>774</v>
      </c>
      <c r="AE5" s="82" t="s">
        <v>774</v>
      </c>
      <c r="AF5" s="82" t="s">
        <v>774</v>
      </c>
      <c r="AG5" s="82" t="s">
        <v>774</v>
      </c>
    </row>
    <row r="6" spans="1:38" s="68" customFormat="1" ht="101.25" x14ac:dyDescent="0.25">
      <c r="A6" s="70" t="s">
        <v>751</v>
      </c>
      <c r="B6" s="77" t="s">
        <v>482</v>
      </c>
      <c r="C6" s="82" t="s">
        <v>775</v>
      </c>
      <c r="D6" s="82" t="s">
        <v>775</v>
      </c>
      <c r="E6" s="82" t="s">
        <v>775</v>
      </c>
      <c r="F6" s="82" t="s">
        <v>775</v>
      </c>
      <c r="G6" s="82" t="s">
        <v>775</v>
      </c>
      <c r="H6" s="82" t="s">
        <v>775</v>
      </c>
      <c r="I6" s="82" t="s">
        <v>775</v>
      </c>
      <c r="J6" s="82" t="s">
        <v>775</v>
      </c>
      <c r="K6" s="82" t="s">
        <v>775</v>
      </c>
      <c r="L6" s="82" t="s">
        <v>775</v>
      </c>
      <c r="M6" s="82" t="s">
        <v>775</v>
      </c>
      <c r="N6" s="82" t="s">
        <v>775</v>
      </c>
      <c r="O6" s="82" t="s">
        <v>775</v>
      </c>
      <c r="P6" s="82" t="s">
        <v>775</v>
      </c>
      <c r="Q6" s="82" t="s">
        <v>775</v>
      </c>
      <c r="R6" s="82" t="s">
        <v>775</v>
      </c>
      <c r="S6" s="82" t="s">
        <v>775</v>
      </c>
      <c r="T6" s="82" t="s">
        <v>775</v>
      </c>
      <c r="U6" s="82" t="s">
        <v>775</v>
      </c>
      <c r="V6" s="82" t="s">
        <v>775</v>
      </c>
      <c r="W6" s="82" t="s">
        <v>775</v>
      </c>
      <c r="X6" s="82" t="s">
        <v>775</v>
      </c>
      <c r="Y6" s="82" t="s">
        <v>775</v>
      </c>
      <c r="Z6" s="82" t="s">
        <v>775</v>
      </c>
      <c r="AA6" s="82" t="s">
        <v>775</v>
      </c>
      <c r="AB6" s="82" t="s">
        <v>775</v>
      </c>
      <c r="AC6" s="82" t="s">
        <v>775</v>
      </c>
      <c r="AD6" s="82" t="s">
        <v>775</v>
      </c>
      <c r="AE6" s="82" t="s">
        <v>775</v>
      </c>
      <c r="AF6" s="82" t="s">
        <v>775</v>
      </c>
      <c r="AG6" s="82" t="s">
        <v>775</v>
      </c>
    </row>
  </sheetData>
  <autoFilter ref="A1:AG3" xr:uid="{00000000-0001-0000-0000-000000000000}"/>
  <conditionalFormatting sqref="A2">
    <cfRule type="duplicateValues" dxfId="3" priority="1"/>
  </conditionalFormatting>
  <conditionalFormatting sqref="A7:A1048576 A1 A3 A5">
    <cfRule type="duplicateValues" dxfId="2" priority="2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DA298-0F52-4165-B9BB-6705DB0F32ED}">
  <dimension ref="A1:FW58"/>
  <sheetViews>
    <sheetView workbookViewId="0">
      <selection sqref="A1:XFD1"/>
    </sheetView>
  </sheetViews>
  <sheetFormatPr baseColWidth="10" defaultColWidth="10.7109375" defaultRowHeight="20.100000000000001" customHeight="1" x14ac:dyDescent="0.25"/>
  <cols>
    <col min="13" max="13" width="29.28515625" customWidth="1"/>
  </cols>
  <sheetData>
    <row r="1" spans="1:179" s="43" customFormat="1" ht="20.100000000000001" customHeight="1" x14ac:dyDescent="0.25">
      <c r="A1" s="3" t="s">
        <v>0</v>
      </c>
      <c r="B1" s="40" t="s">
        <v>81</v>
      </c>
      <c r="C1" s="40" t="s">
        <v>94</v>
      </c>
      <c r="D1" s="3" t="s">
        <v>95</v>
      </c>
      <c r="E1" s="3" t="s">
        <v>1</v>
      </c>
      <c r="F1" s="3" t="s">
        <v>2</v>
      </c>
      <c r="G1" s="3" t="s">
        <v>88</v>
      </c>
      <c r="H1" s="3" t="s">
        <v>87</v>
      </c>
      <c r="I1" s="3" t="s">
        <v>3</v>
      </c>
      <c r="J1" s="3" t="s">
        <v>152</v>
      </c>
      <c r="K1" s="3" t="s">
        <v>86</v>
      </c>
      <c r="L1" s="3" t="s">
        <v>85</v>
      </c>
      <c r="M1" s="3" t="s">
        <v>4</v>
      </c>
      <c r="N1" s="3" t="s">
        <v>5</v>
      </c>
      <c r="O1" s="3" t="s">
        <v>83</v>
      </c>
      <c r="P1" s="3" t="s">
        <v>82</v>
      </c>
      <c r="Q1" s="3" t="s">
        <v>6</v>
      </c>
      <c r="R1" s="3" t="s">
        <v>84</v>
      </c>
      <c r="S1" s="3" t="s">
        <v>7</v>
      </c>
      <c r="T1" s="3" t="s">
        <v>8</v>
      </c>
      <c r="U1" s="3" t="s">
        <v>9</v>
      </c>
      <c r="V1" s="3" t="s">
        <v>10</v>
      </c>
      <c r="W1" s="3" t="s">
        <v>11</v>
      </c>
      <c r="X1" s="3" t="s">
        <v>12</v>
      </c>
      <c r="Y1" s="3" t="s">
        <v>13</v>
      </c>
      <c r="Z1" s="3" t="s">
        <v>77</v>
      </c>
      <c r="AA1" s="3" t="s">
        <v>14</v>
      </c>
      <c r="AB1" s="3" t="s">
        <v>15</v>
      </c>
      <c r="AC1" s="24" t="s">
        <v>16</v>
      </c>
      <c r="AD1" s="3" t="s">
        <v>17</v>
      </c>
      <c r="AE1" s="3" t="s">
        <v>18</v>
      </c>
      <c r="AF1" s="3" t="s">
        <v>19</v>
      </c>
      <c r="AG1" s="3" t="s">
        <v>20</v>
      </c>
      <c r="AH1" s="3" t="s">
        <v>21</v>
      </c>
      <c r="AI1" s="3" t="s">
        <v>22</v>
      </c>
      <c r="AJ1" s="3" t="s">
        <v>23</v>
      </c>
      <c r="AK1" s="3" t="s">
        <v>24</v>
      </c>
      <c r="AL1" s="3" t="s">
        <v>25</v>
      </c>
      <c r="AM1" s="3" t="s">
        <v>26</v>
      </c>
      <c r="AN1" s="3" t="s">
        <v>27</v>
      </c>
      <c r="AO1" s="47" t="s">
        <v>28</v>
      </c>
      <c r="AP1" s="3" t="s">
        <v>155</v>
      </c>
      <c r="AQ1" s="3" t="s">
        <v>154</v>
      </c>
      <c r="AR1" s="3" t="s">
        <v>110</v>
      </c>
      <c r="AS1" s="3" t="s">
        <v>111</v>
      </c>
      <c r="AT1" s="3" t="s">
        <v>112</v>
      </c>
      <c r="AU1" s="3" t="s">
        <v>113</v>
      </c>
      <c r="AV1" s="3" t="s">
        <v>114</v>
      </c>
      <c r="AW1" s="3" t="s">
        <v>108</v>
      </c>
      <c r="AX1" s="3" t="s">
        <v>109</v>
      </c>
      <c r="AY1" s="3" t="s">
        <v>106</v>
      </c>
      <c r="AZ1" s="3" t="s">
        <v>107</v>
      </c>
      <c r="BA1" s="3" t="s">
        <v>53</v>
      </c>
      <c r="BB1" s="3" t="s">
        <v>54</v>
      </c>
      <c r="BC1" s="3" t="s">
        <v>55</v>
      </c>
      <c r="BD1" s="3" t="s">
        <v>56</v>
      </c>
      <c r="BE1" s="3" t="s">
        <v>57</v>
      </c>
      <c r="BF1" s="3" t="s">
        <v>58</v>
      </c>
      <c r="BG1" s="3" t="s">
        <v>59</v>
      </c>
      <c r="BH1" s="3" t="s">
        <v>60</v>
      </c>
      <c r="BI1" s="3" t="s">
        <v>61</v>
      </c>
      <c r="BJ1" s="3" t="s">
        <v>62</v>
      </c>
      <c r="BK1" s="3" t="s">
        <v>63</v>
      </c>
      <c r="BL1" s="29"/>
      <c r="BM1" s="3" t="s">
        <v>153</v>
      </c>
      <c r="BN1" s="3" t="s">
        <v>172</v>
      </c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25"/>
      <c r="CA1" s="24" t="s">
        <v>179</v>
      </c>
      <c r="CB1" s="24" t="s">
        <v>165</v>
      </c>
      <c r="CC1" s="2" t="s">
        <v>151</v>
      </c>
      <c r="CD1" s="3" t="s">
        <v>86</v>
      </c>
      <c r="CE1" s="20" t="s">
        <v>105</v>
      </c>
      <c r="CF1" s="93" t="s">
        <v>104</v>
      </c>
      <c r="CG1" s="94"/>
      <c r="CH1" s="27"/>
      <c r="CI1" s="41" t="s">
        <v>150</v>
      </c>
      <c r="CJ1" s="41" t="s">
        <v>150</v>
      </c>
      <c r="CK1" s="42" t="s">
        <v>201</v>
      </c>
      <c r="CL1" s="42" t="s">
        <v>247</v>
      </c>
      <c r="CM1" s="42" t="s">
        <v>244</v>
      </c>
      <c r="CN1" s="42" t="s">
        <v>243</v>
      </c>
      <c r="CO1" s="42" t="s">
        <v>235</v>
      </c>
      <c r="CP1" s="42" t="s">
        <v>245</v>
      </c>
      <c r="CQ1" s="42" t="s">
        <v>231</v>
      </c>
      <c r="CR1" s="42" t="s">
        <v>246</v>
      </c>
      <c r="CS1" s="42" t="s">
        <v>230</v>
      </c>
      <c r="CT1" s="42" t="s">
        <v>207</v>
      </c>
      <c r="CU1" s="42" t="s">
        <v>229</v>
      </c>
      <c r="CV1" s="42" t="s">
        <v>177</v>
      </c>
      <c r="CW1" s="42" t="s">
        <v>180</v>
      </c>
      <c r="CX1" s="42" t="s">
        <v>242</v>
      </c>
      <c r="CY1" s="42" t="s">
        <v>188</v>
      </c>
      <c r="CZ1" s="42" t="s">
        <v>181</v>
      </c>
      <c r="DA1" s="42" t="s">
        <v>357</v>
      </c>
      <c r="DB1" s="42" t="s">
        <v>356</v>
      </c>
      <c r="DC1" s="42" t="s">
        <v>234</v>
      </c>
      <c r="DD1" s="42" t="s">
        <v>218</v>
      </c>
      <c r="DE1" s="42" t="s">
        <v>219</v>
      </c>
      <c r="DF1" s="42" t="s">
        <v>182</v>
      </c>
      <c r="DG1" s="42" t="s">
        <v>190</v>
      </c>
      <c r="DH1" s="42" t="s">
        <v>206</v>
      </c>
      <c r="DI1" s="42" t="s">
        <v>220</v>
      </c>
      <c r="DJ1" s="42" t="s">
        <v>194</v>
      </c>
      <c r="DK1" s="42" t="s">
        <v>193</v>
      </c>
      <c r="DL1" s="42" t="s">
        <v>191</v>
      </c>
      <c r="DM1" s="42" t="s">
        <v>192</v>
      </c>
      <c r="DN1" s="42" t="s">
        <v>195</v>
      </c>
      <c r="DO1" s="42" t="s">
        <v>198</v>
      </c>
      <c r="DP1" s="42" t="s">
        <v>196</v>
      </c>
      <c r="DQ1" s="42" t="s">
        <v>197</v>
      </c>
      <c r="DR1" s="42" t="s">
        <v>199</v>
      </c>
      <c r="DS1" s="42" t="s">
        <v>200</v>
      </c>
      <c r="DT1" s="42" t="s">
        <v>183</v>
      </c>
      <c r="DU1" s="42" t="s">
        <v>213</v>
      </c>
      <c r="DV1" s="42" t="s">
        <v>184</v>
      </c>
      <c r="DW1" s="42" t="s">
        <v>185</v>
      </c>
      <c r="DX1" s="42" t="s">
        <v>232</v>
      </c>
      <c r="DY1" s="42" t="s">
        <v>187</v>
      </c>
      <c r="DZ1" s="42" t="s">
        <v>186</v>
      </c>
      <c r="EA1" s="42" t="s">
        <v>204</v>
      </c>
      <c r="EB1" s="42" t="s">
        <v>205</v>
      </c>
      <c r="EC1" s="42" t="s">
        <v>189</v>
      </c>
      <c r="ED1" s="42" t="s">
        <v>208</v>
      </c>
      <c r="EE1" s="42" t="s">
        <v>359</v>
      </c>
      <c r="EF1" s="42" t="s">
        <v>209</v>
      </c>
      <c r="EG1" s="42" t="s">
        <v>226</v>
      </c>
      <c r="EH1" s="42" t="s">
        <v>203</v>
      </c>
      <c r="EI1" s="42" t="s">
        <v>215</v>
      </c>
      <c r="EJ1" s="42" t="s">
        <v>217</v>
      </c>
      <c r="EK1" s="42" t="s">
        <v>216</v>
      </c>
      <c r="EL1" s="34" t="s">
        <v>166</v>
      </c>
      <c r="EM1" s="28"/>
      <c r="EN1" s="26" t="s">
        <v>126</v>
      </c>
      <c r="EO1" s="2" t="s">
        <v>116</v>
      </c>
      <c r="EP1" s="20" t="s">
        <v>117</v>
      </c>
      <c r="EQ1" s="20" t="s">
        <v>133</v>
      </c>
      <c r="ER1" s="20" t="s">
        <v>132</v>
      </c>
      <c r="ES1" s="26" t="s">
        <v>118</v>
      </c>
      <c r="ET1" s="20" t="s">
        <v>115</v>
      </c>
      <c r="EU1" s="20" t="s">
        <v>137</v>
      </c>
      <c r="EV1" s="20" t="s">
        <v>138</v>
      </c>
      <c r="EW1" s="20" t="s">
        <v>139</v>
      </c>
      <c r="EX1" s="20"/>
      <c r="EY1" s="20" t="s">
        <v>119</v>
      </c>
      <c r="EZ1" s="2" t="s">
        <v>120</v>
      </c>
      <c r="FA1" s="20" t="s">
        <v>121</v>
      </c>
      <c r="FB1" s="20" t="s">
        <v>136</v>
      </c>
      <c r="FC1" s="20" t="s">
        <v>132</v>
      </c>
      <c r="FD1" s="26" t="s">
        <v>127</v>
      </c>
      <c r="FE1" s="20" t="s">
        <v>156</v>
      </c>
      <c r="FF1" s="20"/>
      <c r="FG1" s="20" t="s">
        <v>128</v>
      </c>
      <c r="FH1" s="2" t="s">
        <v>124</v>
      </c>
      <c r="FI1" s="20" t="s">
        <v>125</v>
      </c>
      <c r="FJ1" s="20" t="s">
        <v>135</v>
      </c>
      <c r="FK1" s="20" t="s">
        <v>132</v>
      </c>
      <c r="FL1" s="26" t="s">
        <v>129</v>
      </c>
      <c r="FM1" s="26"/>
      <c r="FN1" s="26"/>
      <c r="FO1" s="20" t="s">
        <v>130</v>
      </c>
      <c r="FP1" s="2" t="s">
        <v>122</v>
      </c>
      <c r="FQ1" s="20" t="s">
        <v>123</v>
      </c>
      <c r="FR1" s="20" t="s">
        <v>134</v>
      </c>
      <c r="FS1" s="20" t="s">
        <v>132</v>
      </c>
      <c r="FT1" s="26" t="s">
        <v>103</v>
      </c>
      <c r="FU1" s="26"/>
      <c r="FV1" s="26"/>
      <c r="FW1" s="20" t="s">
        <v>131</v>
      </c>
    </row>
    <row r="2" spans="1:179" ht="20.100000000000001" customHeight="1" x14ac:dyDescent="0.25">
      <c r="A2" s="5" t="s">
        <v>78</v>
      </c>
      <c r="B2" s="5" t="s">
        <v>255</v>
      </c>
      <c r="C2" s="5" t="s">
        <v>256</v>
      </c>
      <c r="D2" s="1"/>
      <c r="E2" s="4" t="s">
        <v>34</v>
      </c>
      <c r="F2" s="5" t="s">
        <v>38</v>
      </c>
      <c r="G2" s="5" t="s">
        <v>39</v>
      </c>
      <c r="H2" s="5" t="s">
        <v>29</v>
      </c>
      <c r="I2" s="5" t="s">
        <v>7</v>
      </c>
      <c r="J2" s="4"/>
      <c r="K2" s="5" t="s">
        <v>30</v>
      </c>
      <c r="L2" s="5"/>
      <c r="M2" s="5" t="s">
        <v>257</v>
      </c>
      <c r="N2" s="6" t="s">
        <v>64</v>
      </c>
      <c r="O2" s="37">
        <v>5792</v>
      </c>
      <c r="P2" s="37">
        <v>2254</v>
      </c>
      <c r="Q2" s="5">
        <v>2300</v>
      </c>
      <c r="R2" s="5"/>
      <c r="S2" s="5">
        <v>3520</v>
      </c>
      <c r="T2" s="5">
        <v>2400</v>
      </c>
      <c r="U2" s="5">
        <v>7857</v>
      </c>
      <c r="V2" s="5">
        <v>1100</v>
      </c>
      <c r="W2" s="5">
        <v>4185</v>
      </c>
      <c r="X2" s="5">
        <v>2400</v>
      </c>
      <c r="Y2" s="5"/>
      <c r="Z2" s="37">
        <v>11</v>
      </c>
      <c r="AA2" s="5" t="s">
        <v>328</v>
      </c>
      <c r="AB2" s="5">
        <v>10000</v>
      </c>
      <c r="AC2" s="30">
        <v>3454</v>
      </c>
      <c r="AD2" s="10"/>
      <c r="AE2" s="10"/>
      <c r="AF2" s="10"/>
      <c r="AG2" s="10"/>
      <c r="AH2" s="5" t="s">
        <v>167</v>
      </c>
      <c r="AI2" s="4" t="s">
        <v>175</v>
      </c>
      <c r="AJ2" s="37" t="s">
        <v>358</v>
      </c>
      <c r="AK2" s="5" t="s">
        <v>80</v>
      </c>
      <c r="AL2" s="5" t="s">
        <v>40</v>
      </c>
      <c r="AM2" s="5" t="s">
        <v>178</v>
      </c>
      <c r="AN2" s="4" t="s">
        <v>361</v>
      </c>
      <c r="AO2" s="11" t="s">
        <v>67</v>
      </c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20" t="e">
        <f>IF(CONCATENATE(A2,B2,C2,D2,E2,F2,G2,H2,I2,J2,K2,L2,M2,N2,O2,P2,Q2,R2,S2,T2,U2,V2,W2,X2,Y2,Z2,AA2,AB2,AC2,AD2,AE2,AF2,AG2,AH2,AI2,AJ2,AK2,AL2,AM2,AN2,AO2,AP2,AQ2,AR2,AS2,AT2,AU2,AV2,AW2,AX2,AY2,AZ2,BA2,BB2,BC2,BD2,BE2,BF2,BG2,BH2,BI2,BJ2,BK2)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" s="38" t="s">
        <v>252</v>
      </c>
      <c r="BN2" s="8" t="s">
        <v>140</v>
      </c>
      <c r="BO2" s="48"/>
      <c r="BP2" s="35" t="str">
        <f t="shared" ref="BP2:BP33" si="0">A2</f>
        <v>FR</v>
      </c>
      <c r="BQ2" s="35" t="str">
        <f t="shared" ref="BQ2:BQ33" si="1">B2</f>
        <v>FS_PF_Energie Alter</v>
      </c>
      <c r="BR2" s="35" t="str">
        <f t="shared" ref="BR2:BR33" si="2">E2</f>
        <v>IVECO</v>
      </c>
      <c r="BS2" s="35" t="str">
        <f t="shared" ref="BS2:BS33" si="3">F2</f>
        <v>EUROCARGO</v>
      </c>
      <c r="BT2" s="35" t="str">
        <f t="shared" ref="BT2:BT33" si="4">M2</f>
        <v>100E21 G CF</v>
      </c>
      <c r="BU2" s="35">
        <f t="shared" ref="BU2:BU33" si="5">IF(BT2=BV2,0,1)</f>
        <v>0</v>
      </c>
      <c r="BV2" s="5" t="s">
        <v>257</v>
      </c>
      <c r="BW2" s="6" t="s">
        <v>64</v>
      </c>
      <c r="BX2" s="35" t="str">
        <f t="shared" ref="BX2:BX33" si="6">N2</f>
        <v>H01</v>
      </c>
      <c r="BY2" s="44" t="str">
        <f t="shared" ref="BY2:BY33" si="7">CONCATENATE(BP2,BQ2,BT2,BX2)</f>
        <v>FRFS_PF_Energie Alter100E21 G CFH01</v>
      </c>
      <c r="BZ2" s="48"/>
      <c r="CA2" s="35">
        <v>10000</v>
      </c>
      <c r="CB2" s="35">
        <v>10000</v>
      </c>
      <c r="CC2" s="35" t="e">
        <f>VLOOKUP(BY2,#REF!,20,0)</f>
        <v>#REF!</v>
      </c>
      <c r="CD2" s="48"/>
      <c r="CE2" s="36">
        <v>3454</v>
      </c>
      <c r="CF2" s="36">
        <v>3454</v>
      </c>
      <c r="CG2" s="36"/>
    </row>
    <row r="3" spans="1:179" ht="20.100000000000001" customHeight="1" x14ac:dyDescent="0.25">
      <c r="A3" s="5" t="s">
        <v>78</v>
      </c>
      <c r="B3" s="5" t="s">
        <v>255</v>
      </c>
      <c r="C3" s="5" t="s">
        <v>256</v>
      </c>
      <c r="D3" s="1"/>
      <c r="E3" s="4" t="s">
        <v>34</v>
      </c>
      <c r="F3" s="5" t="s">
        <v>38</v>
      </c>
      <c r="G3" s="5" t="s">
        <v>39</v>
      </c>
      <c r="H3" s="5" t="s">
        <v>12</v>
      </c>
      <c r="I3" s="5" t="s">
        <v>7</v>
      </c>
      <c r="J3" s="5"/>
      <c r="K3" s="5" t="s">
        <v>30</v>
      </c>
      <c r="L3" s="5"/>
      <c r="M3" s="5" t="s">
        <v>257</v>
      </c>
      <c r="N3" s="5" t="s">
        <v>65</v>
      </c>
      <c r="O3" s="37">
        <v>5792</v>
      </c>
      <c r="P3" s="37">
        <v>2254</v>
      </c>
      <c r="Q3" s="5">
        <v>2300</v>
      </c>
      <c r="R3" s="5"/>
      <c r="S3" s="5">
        <v>3520</v>
      </c>
      <c r="T3" s="5">
        <v>2400</v>
      </c>
      <c r="U3" s="5">
        <v>7857</v>
      </c>
      <c r="V3" s="5">
        <v>1100</v>
      </c>
      <c r="W3" s="5">
        <v>4185</v>
      </c>
      <c r="X3" s="5">
        <v>2400</v>
      </c>
      <c r="Y3" s="5"/>
      <c r="Z3" s="37">
        <v>11</v>
      </c>
      <c r="AA3" s="5" t="s">
        <v>312</v>
      </c>
      <c r="AB3" s="5">
        <v>10000</v>
      </c>
      <c r="AC3" s="30">
        <v>2974</v>
      </c>
      <c r="AD3" s="10"/>
      <c r="AE3" s="10"/>
      <c r="AF3" s="10"/>
      <c r="AG3" s="10"/>
      <c r="AH3" s="5" t="s">
        <v>167</v>
      </c>
      <c r="AI3" s="4" t="s">
        <v>175</v>
      </c>
      <c r="AJ3" s="37" t="s">
        <v>358</v>
      </c>
      <c r="AK3" s="5" t="s">
        <v>80</v>
      </c>
      <c r="AL3" s="5" t="s">
        <v>41</v>
      </c>
      <c r="AM3" s="5" t="s">
        <v>145</v>
      </c>
      <c r="AN3" s="4" t="s">
        <v>361</v>
      </c>
      <c r="AO3" s="11" t="s">
        <v>68</v>
      </c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20" t="e">
        <f>IF(CONCATENATE(A3,B3,C3,D3,E3,F3,G3,H3,I3,J3,K3,L3,M3,N3,O3,P3,Q3,R3,S3,T3,U3,V3,W3,X3,Y3,Z3,AA3,AB3,AC3,AD3,AE3,AF3,AG3,AH3,AI3,AJ3,AK3,AL3,AM3,AN3,AO3,AP3,AQ3,AR3,AS3,AT3,AU3,AV3,AW3,AX3,AY3,AZ3,BA3,BB3,BC3,BD3,BE3,BF3,BG3,BH3,BI3,BJ3,BK3)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" s="38" t="s">
        <v>252</v>
      </c>
      <c r="BN3" s="8" t="s">
        <v>148</v>
      </c>
      <c r="BO3" s="48"/>
      <c r="BP3" s="35" t="str">
        <f t="shared" si="0"/>
        <v>FR</v>
      </c>
      <c r="BQ3" s="35" t="str">
        <f t="shared" si="1"/>
        <v>FS_PF_Energie Alter</v>
      </c>
      <c r="BR3" s="35" t="str">
        <f t="shared" si="2"/>
        <v>IVECO</v>
      </c>
      <c r="BS3" s="35" t="str">
        <f t="shared" si="3"/>
        <v>EUROCARGO</v>
      </c>
      <c r="BT3" s="35" t="str">
        <f t="shared" si="4"/>
        <v>100E21 G CF</v>
      </c>
      <c r="BU3" s="35">
        <f t="shared" si="5"/>
        <v>0</v>
      </c>
      <c r="BV3" s="5" t="s">
        <v>257</v>
      </c>
      <c r="BW3" s="5" t="s">
        <v>65</v>
      </c>
      <c r="BX3" s="35" t="str">
        <f t="shared" si="6"/>
        <v>H02</v>
      </c>
      <c r="BY3" s="44" t="str">
        <f t="shared" si="7"/>
        <v>FRFS_PF_Energie Alter100E21 G CFH02</v>
      </c>
      <c r="BZ3" s="48"/>
      <c r="CA3" s="35">
        <v>10000</v>
      </c>
      <c r="CB3" s="35">
        <v>10000</v>
      </c>
      <c r="CC3" s="35" t="e">
        <f>VLOOKUP(BY3,#REF!,20,0)</f>
        <v>#REF!</v>
      </c>
      <c r="CD3" s="48"/>
      <c r="CE3" s="36">
        <v>2974</v>
      </c>
      <c r="CF3" s="36">
        <v>2974</v>
      </c>
      <c r="CG3" s="36"/>
    </row>
    <row r="4" spans="1:179" ht="20.100000000000001" customHeight="1" x14ac:dyDescent="0.25">
      <c r="A4" s="5" t="s">
        <v>78</v>
      </c>
      <c r="B4" s="5" t="s">
        <v>255</v>
      </c>
      <c r="C4" s="5" t="s">
        <v>256</v>
      </c>
      <c r="D4" s="1"/>
      <c r="E4" s="4" t="s">
        <v>34</v>
      </c>
      <c r="F4" s="5" t="s">
        <v>38</v>
      </c>
      <c r="G4" s="5" t="s">
        <v>39</v>
      </c>
      <c r="H4" s="5" t="s">
        <v>29</v>
      </c>
      <c r="I4" s="5" t="s">
        <v>7</v>
      </c>
      <c r="J4" s="4"/>
      <c r="K4" s="5" t="s">
        <v>30</v>
      </c>
      <c r="L4" s="5"/>
      <c r="M4" s="5" t="s">
        <v>258</v>
      </c>
      <c r="N4" s="6" t="s">
        <v>64</v>
      </c>
      <c r="O4" s="37">
        <v>5792</v>
      </c>
      <c r="P4" s="37">
        <v>2254</v>
      </c>
      <c r="Q4" s="5">
        <v>2300</v>
      </c>
      <c r="R4" s="5"/>
      <c r="S4" s="5">
        <v>3520</v>
      </c>
      <c r="T4" s="5">
        <v>2400</v>
      </c>
      <c r="U4" s="5">
        <v>7857</v>
      </c>
      <c r="V4" s="5">
        <v>1100</v>
      </c>
      <c r="W4" s="5">
        <v>4185</v>
      </c>
      <c r="X4" s="5">
        <v>2400</v>
      </c>
      <c r="Y4" s="5"/>
      <c r="Z4" s="37">
        <v>11</v>
      </c>
      <c r="AA4" s="5" t="s">
        <v>329</v>
      </c>
      <c r="AB4" s="5">
        <v>10000</v>
      </c>
      <c r="AC4" s="30">
        <v>3454</v>
      </c>
      <c r="AD4" s="10"/>
      <c r="AE4" s="10"/>
      <c r="AF4" s="10"/>
      <c r="AG4" s="10"/>
      <c r="AH4" s="5" t="s">
        <v>167</v>
      </c>
      <c r="AI4" s="4" t="s">
        <v>175</v>
      </c>
      <c r="AJ4" s="37" t="s">
        <v>358</v>
      </c>
      <c r="AK4" s="5" t="s">
        <v>80</v>
      </c>
      <c r="AL4" s="5" t="s">
        <v>40</v>
      </c>
      <c r="AM4" s="4" t="s">
        <v>352</v>
      </c>
      <c r="AN4" s="4" t="s">
        <v>361</v>
      </c>
      <c r="AO4" s="11" t="s">
        <v>67</v>
      </c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20" t="e">
        <f>IF(CONCATENATE(A4,B4,C4,D4,E4,F4,G4,H4,I4,J4,K4,L4,M4,N4,O4,P4,Q4,R4,S4,T4,U4,V4,W4,X4,Y4,Z4,AA4,AB4,AC4,AD4,AE4,AF4,AG4,AH4,AI4,AJ4,AK4,AL4,AM4,AN4,AO4,AP4,AQ4,AR4,AS4,AT4,AU4,AV4,AW4,AX4,AY4,AZ4,BA4,BB4,BC4,BD4,BE4,BF4,BG4,BH4,BI4,BJ4,BK4)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" s="38" t="s">
        <v>252</v>
      </c>
      <c r="BN4" s="8" t="s">
        <v>140</v>
      </c>
      <c r="BO4" s="48"/>
      <c r="BP4" s="35" t="str">
        <f t="shared" si="0"/>
        <v>FR</v>
      </c>
      <c r="BQ4" s="35" t="str">
        <f t="shared" si="1"/>
        <v>FS_PF_Energie Alter</v>
      </c>
      <c r="BR4" s="35" t="str">
        <f t="shared" si="2"/>
        <v>IVECO</v>
      </c>
      <c r="BS4" s="35" t="str">
        <f t="shared" si="3"/>
        <v>EUROCARGO</v>
      </c>
      <c r="BT4" s="35" t="str">
        <f t="shared" si="4"/>
        <v>100E21 G CF - TK V1000</v>
      </c>
      <c r="BU4" s="35">
        <f t="shared" si="5"/>
        <v>0</v>
      </c>
      <c r="BV4" s="5" t="s">
        <v>258</v>
      </c>
      <c r="BW4" s="6" t="s">
        <v>64</v>
      </c>
      <c r="BX4" s="35" t="str">
        <f t="shared" si="6"/>
        <v>H01</v>
      </c>
      <c r="BY4" s="44" t="str">
        <f t="shared" si="7"/>
        <v>FRFS_PF_Energie Alter100E21 G CF - TK V1000H01</v>
      </c>
      <c r="BZ4" s="48"/>
      <c r="CA4" s="35">
        <v>10000</v>
      </c>
      <c r="CB4" s="35">
        <v>10000</v>
      </c>
      <c r="CC4" s="35" t="e">
        <f>VLOOKUP(BY4,#REF!,20,0)</f>
        <v>#REF!</v>
      </c>
      <c r="CD4" s="48"/>
      <c r="CE4" s="36">
        <v>3454</v>
      </c>
      <c r="CF4" s="36">
        <v>3454</v>
      </c>
      <c r="CG4" s="36"/>
    </row>
    <row r="5" spans="1:179" ht="20.100000000000001" customHeight="1" x14ac:dyDescent="0.25">
      <c r="A5" s="5" t="s">
        <v>78</v>
      </c>
      <c r="B5" s="5" t="s">
        <v>255</v>
      </c>
      <c r="C5" s="5" t="s">
        <v>256</v>
      </c>
      <c r="D5" s="1"/>
      <c r="E5" s="4" t="s">
        <v>34</v>
      </c>
      <c r="F5" s="5" t="s">
        <v>38</v>
      </c>
      <c r="G5" s="5" t="s">
        <v>39</v>
      </c>
      <c r="H5" s="5" t="s">
        <v>12</v>
      </c>
      <c r="I5" s="5" t="s">
        <v>7</v>
      </c>
      <c r="J5" s="5"/>
      <c r="K5" s="5" t="s">
        <v>30</v>
      </c>
      <c r="L5" s="5"/>
      <c r="M5" s="5" t="s">
        <v>259</v>
      </c>
      <c r="N5" s="5" t="s">
        <v>65</v>
      </c>
      <c r="O5" s="37">
        <v>5792</v>
      </c>
      <c r="P5" s="37">
        <v>2254</v>
      </c>
      <c r="Q5" s="5">
        <v>2300</v>
      </c>
      <c r="R5" s="5"/>
      <c r="S5" s="5">
        <v>3520</v>
      </c>
      <c r="T5" s="5">
        <v>2400</v>
      </c>
      <c r="U5" s="5">
        <v>7857</v>
      </c>
      <c r="V5" s="5">
        <v>1100</v>
      </c>
      <c r="W5" s="5">
        <v>4185</v>
      </c>
      <c r="X5" s="5">
        <v>2400</v>
      </c>
      <c r="Y5" s="5"/>
      <c r="Z5" s="37">
        <v>11</v>
      </c>
      <c r="AA5" s="5" t="s">
        <v>313</v>
      </c>
      <c r="AB5" s="5">
        <v>10000</v>
      </c>
      <c r="AC5" s="30">
        <v>2974</v>
      </c>
      <c r="AD5" s="10"/>
      <c r="AE5" s="10"/>
      <c r="AF5" s="10"/>
      <c r="AG5" s="10"/>
      <c r="AH5" s="5" t="s">
        <v>167</v>
      </c>
      <c r="AI5" s="4" t="s">
        <v>175</v>
      </c>
      <c r="AJ5" s="37" t="s">
        <v>358</v>
      </c>
      <c r="AK5" s="5" t="s">
        <v>80</v>
      </c>
      <c r="AL5" s="5" t="s">
        <v>41</v>
      </c>
      <c r="AM5" s="13" t="s">
        <v>353</v>
      </c>
      <c r="AN5" s="4" t="s">
        <v>361</v>
      </c>
      <c r="AO5" s="11" t="s">
        <v>68</v>
      </c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20" t="e">
        <f>IF(CONCATENATE(A5,B5,C5,D5,E5,F5,G5,H5,I5,J5,K5,L5,M5,N5,O5,P5,Q5,R5,S5,T5,U5,V5,W5,X5,Y5,Z5,AA5,AB5,AC5,AD5,AE5,AF5,AG5,AH5,AI5,AJ5,AK5,AL5,AM5,AN5,AO5,AP5,AQ5,AR5,AS5,AT5,AU5,AV5,AW5,AX5,AY5,AZ5,BA5,BB5,BC5,BD5,BE5,BF5,BG5,BH5,BI5,BJ5,BK5)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" s="38" t="s">
        <v>252</v>
      </c>
      <c r="BN5" s="8" t="s">
        <v>148</v>
      </c>
      <c r="BO5" s="48"/>
      <c r="BP5" s="35" t="str">
        <f t="shared" si="0"/>
        <v>FR</v>
      </c>
      <c r="BQ5" s="35" t="str">
        <f t="shared" si="1"/>
        <v>FS_PF_Energie Alter</v>
      </c>
      <c r="BR5" s="35" t="str">
        <f t="shared" si="2"/>
        <v>IVECO</v>
      </c>
      <c r="BS5" s="35" t="str">
        <f t="shared" si="3"/>
        <v>EUROCARGO</v>
      </c>
      <c r="BT5" s="35" t="str">
        <f t="shared" si="4"/>
        <v>100E21 G CF - TK V1000 SP</v>
      </c>
      <c r="BU5" s="35">
        <f t="shared" si="5"/>
        <v>0</v>
      </c>
      <c r="BV5" s="5" t="s">
        <v>259</v>
      </c>
      <c r="BW5" s="5" t="s">
        <v>65</v>
      </c>
      <c r="BX5" s="35" t="str">
        <f t="shared" si="6"/>
        <v>H02</v>
      </c>
      <c r="BY5" s="44" t="str">
        <f t="shared" si="7"/>
        <v>FRFS_PF_Energie Alter100E21 G CF - TK V1000 SPH02</v>
      </c>
      <c r="BZ5" s="48"/>
      <c r="CA5" s="35">
        <v>10000</v>
      </c>
      <c r="CB5" s="35">
        <v>10000</v>
      </c>
      <c r="CC5" s="35" t="e">
        <f>VLOOKUP(BY5,#REF!,20,0)</f>
        <v>#REF!</v>
      </c>
      <c r="CD5" s="48"/>
      <c r="CE5" s="36">
        <v>2974</v>
      </c>
      <c r="CF5" s="36">
        <v>2974</v>
      </c>
      <c r="CG5" s="36"/>
    </row>
    <row r="6" spans="1:179" ht="20.100000000000001" customHeight="1" x14ac:dyDescent="0.25">
      <c r="A6" s="13" t="s">
        <v>78</v>
      </c>
      <c r="B6" s="5" t="s">
        <v>255</v>
      </c>
      <c r="C6" s="5" t="s">
        <v>256</v>
      </c>
      <c r="D6" s="1"/>
      <c r="E6" s="4" t="s">
        <v>34</v>
      </c>
      <c r="F6" s="13" t="s">
        <v>38</v>
      </c>
      <c r="G6" s="5" t="s">
        <v>42</v>
      </c>
      <c r="H6" s="13" t="s">
        <v>29</v>
      </c>
      <c r="I6" s="13" t="s">
        <v>7</v>
      </c>
      <c r="J6" s="4"/>
      <c r="K6" s="13" t="s">
        <v>30</v>
      </c>
      <c r="L6" s="13"/>
      <c r="M6" s="4" t="s">
        <v>266</v>
      </c>
      <c r="N6" s="6" t="s">
        <v>64</v>
      </c>
      <c r="O6" s="37">
        <v>5792</v>
      </c>
      <c r="P6" s="37">
        <v>2254</v>
      </c>
      <c r="Q6" s="5">
        <v>2300</v>
      </c>
      <c r="R6" s="13"/>
      <c r="S6" s="13">
        <v>3570</v>
      </c>
      <c r="T6" s="13">
        <v>2600</v>
      </c>
      <c r="U6" s="13">
        <v>8832</v>
      </c>
      <c r="V6" s="13">
        <v>1160</v>
      </c>
      <c r="W6" s="13">
        <v>4815</v>
      </c>
      <c r="X6" s="13">
        <v>2655</v>
      </c>
      <c r="Y6" s="13"/>
      <c r="Z6" s="37">
        <v>11</v>
      </c>
      <c r="AA6" s="13" t="s">
        <v>330</v>
      </c>
      <c r="AB6" s="13">
        <v>11990</v>
      </c>
      <c r="AC6" s="30">
        <v>3957</v>
      </c>
      <c r="AD6" s="14"/>
      <c r="AE6" s="14"/>
      <c r="AF6" s="14"/>
      <c r="AG6" s="14"/>
      <c r="AH6" s="13" t="s">
        <v>168</v>
      </c>
      <c r="AI6" s="4" t="s">
        <v>175</v>
      </c>
      <c r="AJ6" s="37" t="s">
        <v>358</v>
      </c>
      <c r="AK6" s="13" t="s">
        <v>80</v>
      </c>
      <c r="AL6" s="4" t="s">
        <v>157</v>
      </c>
      <c r="AM6" s="5" t="s">
        <v>178</v>
      </c>
      <c r="AN6" s="4" t="s">
        <v>202</v>
      </c>
      <c r="AO6" s="15" t="s">
        <v>69</v>
      </c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20" t="e">
        <f>IF(CONCATENATE(A6,B6,C6,D6,E6,F6,G6,H6,I6,J6,K6,L6,M6,N6,O6,P6,Q6,R6,S6,T6,U6,V6,W6,X6,Y6,Z6,AA6,AB6,AC6,AD6,AE6,AF6,AG6,AH6,AI6,AJ6,AK6,AL6,AM6,AN6,AO6,AP6,AQ6,AR6,AS6,AT6,AU6,AV6,AW6,AX6,AY6,AZ6,BA6,BB6,BC6,BD6,BE6,BF6,BG6,BH6,BI6,BJ6,BK6)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6" s="38" t="s">
        <v>252</v>
      </c>
      <c r="BN6" s="8" t="s">
        <v>141</v>
      </c>
      <c r="BO6" s="48"/>
      <c r="BP6" s="35" t="str">
        <f t="shared" si="0"/>
        <v>FR</v>
      </c>
      <c r="BQ6" s="35" t="str">
        <f t="shared" si="1"/>
        <v>FS_PF_Energie Alter</v>
      </c>
      <c r="BR6" s="35" t="str">
        <f t="shared" si="2"/>
        <v>IVECO</v>
      </c>
      <c r="BS6" s="35" t="str">
        <f t="shared" si="3"/>
        <v>EUROCARGO</v>
      </c>
      <c r="BT6" s="35" t="str">
        <f t="shared" si="4"/>
        <v>120EL21 G CF - 11 Pal - SUPRA 550</v>
      </c>
      <c r="BU6" s="35">
        <f t="shared" si="5"/>
        <v>0</v>
      </c>
      <c r="BV6" s="4" t="s">
        <v>266</v>
      </c>
      <c r="BW6" s="6" t="s">
        <v>64</v>
      </c>
      <c r="BX6" s="35" t="str">
        <f t="shared" si="6"/>
        <v>H01</v>
      </c>
      <c r="BY6" s="44" t="str">
        <f t="shared" si="7"/>
        <v>FRFS_PF_Energie Alter120EL21 G CF - 11 Pal - SUPRA 550H01</v>
      </c>
      <c r="BZ6" s="48"/>
      <c r="CA6" s="35">
        <v>11990</v>
      </c>
      <c r="CB6" s="35">
        <v>11990</v>
      </c>
      <c r="CC6" s="35" t="e">
        <f>VLOOKUP(BY6,#REF!,20,0)</f>
        <v>#REF!</v>
      </c>
      <c r="CD6" s="48"/>
      <c r="CE6" s="36">
        <v>3957</v>
      </c>
      <c r="CF6" s="36">
        <v>3957</v>
      </c>
      <c r="CG6" s="36"/>
    </row>
    <row r="7" spans="1:179" ht="20.100000000000001" customHeight="1" x14ac:dyDescent="0.25">
      <c r="A7" s="13" t="s">
        <v>78</v>
      </c>
      <c r="B7" s="5" t="s">
        <v>255</v>
      </c>
      <c r="C7" s="5" t="s">
        <v>256</v>
      </c>
      <c r="D7" s="1"/>
      <c r="E7" s="4" t="s">
        <v>34</v>
      </c>
      <c r="F7" s="13" t="s">
        <v>38</v>
      </c>
      <c r="G7" s="5" t="s">
        <v>42</v>
      </c>
      <c r="H7" s="13" t="s">
        <v>12</v>
      </c>
      <c r="I7" s="13" t="s">
        <v>7</v>
      </c>
      <c r="J7" s="13"/>
      <c r="K7" s="13" t="s">
        <v>30</v>
      </c>
      <c r="L7" s="13"/>
      <c r="M7" s="4" t="s">
        <v>267</v>
      </c>
      <c r="N7" s="5" t="s">
        <v>65</v>
      </c>
      <c r="O7" s="37">
        <v>5792</v>
      </c>
      <c r="P7" s="37">
        <v>2254</v>
      </c>
      <c r="Q7" s="5">
        <v>2300</v>
      </c>
      <c r="R7" s="13"/>
      <c r="S7" s="13">
        <v>3570</v>
      </c>
      <c r="T7" s="13">
        <v>2600</v>
      </c>
      <c r="U7" s="13">
        <v>8832</v>
      </c>
      <c r="V7" s="13">
        <v>1160</v>
      </c>
      <c r="W7" s="13">
        <v>4815</v>
      </c>
      <c r="X7" s="13">
        <v>2655</v>
      </c>
      <c r="Y7" s="13"/>
      <c r="Z7" s="37">
        <v>11</v>
      </c>
      <c r="AA7" s="13" t="s">
        <v>314</v>
      </c>
      <c r="AB7" s="13">
        <v>11990</v>
      </c>
      <c r="AC7" s="30">
        <v>3381</v>
      </c>
      <c r="AD7" s="14"/>
      <c r="AE7" s="14"/>
      <c r="AF7" s="14"/>
      <c r="AG7" s="14"/>
      <c r="AH7" s="13" t="s">
        <v>168</v>
      </c>
      <c r="AI7" s="4" t="s">
        <v>175</v>
      </c>
      <c r="AJ7" s="37" t="s">
        <v>358</v>
      </c>
      <c r="AK7" s="13" t="s">
        <v>80</v>
      </c>
      <c r="AL7" s="4" t="s">
        <v>158</v>
      </c>
      <c r="AM7" s="5" t="s">
        <v>145</v>
      </c>
      <c r="AN7" s="4" t="s">
        <v>202</v>
      </c>
      <c r="AO7" s="15" t="s">
        <v>70</v>
      </c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20" t="e">
        <f>IF(CONCATENATE(A7,B7,C7,D7,E7,F7,G7,H7,I7,J7,K7,L7,M7,N7,O7,P7,Q7,R7,S7,T7,U7,V7,W7,X7,Y7,Z7,AA7,AB7,AC7,AD7,AE7,AF7,AG7,AH7,AI7,AJ7,AK7,AL7,AM7,AN7,AO7,AP7,AQ7,AR7,AS7,AT7,AU7,AV7,AW7,AX7,AY7,AZ7,BA7,BB7,BC7,BD7,BE7,BF7,BG7,BH7,BI7,BJ7,BK7)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7" s="38" t="s">
        <v>252</v>
      </c>
      <c r="BN7" s="8" t="s">
        <v>147</v>
      </c>
      <c r="BO7" s="48"/>
      <c r="BP7" s="35" t="str">
        <f t="shared" si="0"/>
        <v>FR</v>
      </c>
      <c r="BQ7" s="35" t="str">
        <f t="shared" si="1"/>
        <v>FS_PF_Energie Alter</v>
      </c>
      <c r="BR7" s="35" t="str">
        <f t="shared" si="2"/>
        <v>IVECO</v>
      </c>
      <c r="BS7" s="35" t="str">
        <f t="shared" si="3"/>
        <v>EUROCARGO</v>
      </c>
      <c r="BT7" s="35" t="str">
        <f t="shared" si="4"/>
        <v>120EL21 G CF - 11 Pal - SUPRA 750 MT</v>
      </c>
      <c r="BU7" s="35">
        <f t="shared" si="5"/>
        <v>0</v>
      </c>
      <c r="BV7" s="4" t="s">
        <v>267</v>
      </c>
      <c r="BW7" s="5" t="s">
        <v>65</v>
      </c>
      <c r="BX7" s="35" t="str">
        <f t="shared" si="6"/>
        <v>H02</v>
      </c>
      <c r="BY7" s="44" t="str">
        <f t="shared" si="7"/>
        <v>FRFS_PF_Energie Alter120EL21 G CF - 11 Pal - SUPRA 750 MTH02</v>
      </c>
      <c r="BZ7" s="48"/>
      <c r="CA7" s="35">
        <v>11990</v>
      </c>
      <c r="CB7" s="35">
        <v>11990</v>
      </c>
      <c r="CC7" s="35" t="e">
        <f>VLOOKUP(BY7,#REF!,20,0)</f>
        <v>#REF!</v>
      </c>
      <c r="CD7" s="48"/>
      <c r="CE7" s="36">
        <v>3381</v>
      </c>
      <c r="CF7" s="36">
        <v>3381</v>
      </c>
      <c r="CG7" s="36"/>
    </row>
    <row r="8" spans="1:179" ht="20.100000000000001" customHeight="1" x14ac:dyDescent="0.25">
      <c r="A8" s="13" t="s">
        <v>78</v>
      </c>
      <c r="B8" s="5" t="s">
        <v>255</v>
      </c>
      <c r="C8" s="5" t="s">
        <v>256</v>
      </c>
      <c r="D8" s="1"/>
      <c r="E8" s="4" t="s">
        <v>34</v>
      </c>
      <c r="F8" s="13" t="s">
        <v>38</v>
      </c>
      <c r="G8" s="5" t="s">
        <v>42</v>
      </c>
      <c r="H8" s="13" t="s">
        <v>29</v>
      </c>
      <c r="I8" s="13" t="s">
        <v>7</v>
      </c>
      <c r="J8" s="4"/>
      <c r="K8" s="13" t="s">
        <v>30</v>
      </c>
      <c r="L8" s="13"/>
      <c r="M8" s="4" t="s">
        <v>268</v>
      </c>
      <c r="N8" s="6" t="s">
        <v>64</v>
      </c>
      <c r="O8" s="37">
        <v>5792</v>
      </c>
      <c r="P8" s="37">
        <v>2254</v>
      </c>
      <c r="Q8" s="5">
        <v>2300</v>
      </c>
      <c r="R8" s="13"/>
      <c r="S8" s="13">
        <v>3570</v>
      </c>
      <c r="T8" s="13">
        <v>2600</v>
      </c>
      <c r="U8" s="13">
        <v>8832</v>
      </c>
      <c r="V8" s="13">
        <v>1160</v>
      </c>
      <c r="W8" s="13">
        <v>4815</v>
      </c>
      <c r="X8" s="13">
        <v>2655</v>
      </c>
      <c r="Y8" s="13"/>
      <c r="Z8" s="37">
        <v>11</v>
      </c>
      <c r="AA8" s="13" t="s">
        <v>331</v>
      </c>
      <c r="AB8" s="13">
        <v>11990</v>
      </c>
      <c r="AC8" s="30">
        <v>3957</v>
      </c>
      <c r="AD8" s="14"/>
      <c r="AE8" s="14"/>
      <c r="AF8" s="14"/>
      <c r="AG8" s="14"/>
      <c r="AH8" s="13" t="s">
        <v>168</v>
      </c>
      <c r="AI8" s="4" t="s">
        <v>175</v>
      </c>
      <c r="AJ8" s="37" t="s">
        <v>358</v>
      </c>
      <c r="AK8" s="13" t="s">
        <v>80</v>
      </c>
      <c r="AL8" s="4" t="s">
        <v>157</v>
      </c>
      <c r="AM8" s="4" t="s">
        <v>352</v>
      </c>
      <c r="AN8" s="4" t="s">
        <v>202</v>
      </c>
      <c r="AO8" s="15" t="s">
        <v>69</v>
      </c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20" t="e">
        <f>IF(CONCATENATE(A8,B8,C8,D8,E8,F8,G8,H8,I8,J8,K8,L8,M8,N8,O8,P8,Q8,R8,S8,T8,U8,V8,W8,X8,Y8,Z8,AA8,AB8,AC8,AD8,AE8,AF8,AG8,AH8,AI8,AJ8,AK8,AL8,AM8,AN8,AO8,AP8,AQ8,AR8,AS8,AT8,AU8,AV8,AW8,AX8,AY8,AZ8,BA8,BB8,BC8,BD8,BE8,BF8,BG8,BH8,BI8,BJ8,BK8)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8" s="38" t="s">
        <v>252</v>
      </c>
      <c r="BN8" s="8" t="s">
        <v>141</v>
      </c>
      <c r="BO8" s="48"/>
      <c r="BP8" s="35" t="str">
        <f t="shared" si="0"/>
        <v>FR</v>
      </c>
      <c r="BQ8" s="35" t="str">
        <f t="shared" si="1"/>
        <v>FS_PF_Energie Alter</v>
      </c>
      <c r="BR8" s="35" t="str">
        <f t="shared" si="2"/>
        <v>IVECO</v>
      </c>
      <c r="BS8" s="35" t="str">
        <f t="shared" si="3"/>
        <v>EUROCARGO</v>
      </c>
      <c r="BT8" s="35" t="str">
        <f t="shared" si="4"/>
        <v>120EL21 G CF - 11 Pal - TK V1000</v>
      </c>
      <c r="BU8" s="35">
        <f t="shared" si="5"/>
        <v>0</v>
      </c>
      <c r="BV8" s="4" t="s">
        <v>268</v>
      </c>
      <c r="BW8" s="6" t="s">
        <v>64</v>
      </c>
      <c r="BX8" s="35" t="str">
        <f t="shared" si="6"/>
        <v>H01</v>
      </c>
      <c r="BY8" s="44" t="str">
        <f t="shared" si="7"/>
        <v>FRFS_PF_Energie Alter120EL21 G CF - 11 Pal - TK V1000H01</v>
      </c>
      <c r="BZ8" s="48"/>
      <c r="CA8" s="35">
        <v>11990</v>
      </c>
      <c r="CB8" s="35">
        <v>11990</v>
      </c>
      <c r="CC8" s="35" t="e">
        <f>VLOOKUP(BY8,#REF!,20,0)</f>
        <v>#REF!</v>
      </c>
      <c r="CD8" s="48"/>
      <c r="CE8" s="36">
        <v>3957</v>
      </c>
      <c r="CF8" s="36">
        <v>3957</v>
      </c>
      <c r="CG8" s="36"/>
    </row>
    <row r="9" spans="1:179" ht="20.100000000000001" customHeight="1" x14ac:dyDescent="0.25">
      <c r="A9" s="13" t="s">
        <v>78</v>
      </c>
      <c r="B9" s="5" t="s">
        <v>255</v>
      </c>
      <c r="C9" s="5" t="s">
        <v>256</v>
      </c>
      <c r="D9" s="1"/>
      <c r="E9" s="4" t="s">
        <v>34</v>
      </c>
      <c r="F9" s="13" t="s">
        <v>38</v>
      </c>
      <c r="G9" s="5" t="s">
        <v>42</v>
      </c>
      <c r="H9" s="13" t="s">
        <v>12</v>
      </c>
      <c r="I9" s="13" t="s">
        <v>7</v>
      </c>
      <c r="J9" s="13"/>
      <c r="K9" s="13" t="s">
        <v>30</v>
      </c>
      <c r="L9" s="13"/>
      <c r="M9" s="4" t="s">
        <v>269</v>
      </c>
      <c r="N9" s="5" t="s">
        <v>65</v>
      </c>
      <c r="O9" s="37">
        <v>5792</v>
      </c>
      <c r="P9" s="37">
        <v>2254</v>
      </c>
      <c r="Q9" s="5">
        <v>2300</v>
      </c>
      <c r="R9" s="13"/>
      <c r="S9" s="13">
        <v>3570</v>
      </c>
      <c r="T9" s="13">
        <v>2600</v>
      </c>
      <c r="U9" s="13">
        <v>8832</v>
      </c>
      <c r="V9" s="13">
        <v>1160</v>
      </c>
      <c r="W9" s="13">
        <v>4815</v>
      </c>
      <c r="X9" s="13">
        <v>2655</v>
      </c>
      <c r="Y9" s="13"/>
      <c r="Z9" s="37">
        <v>11</v>
      </c>
      <c r="AA9" s="13" t="s">
        <v>315</v>
      </c>
      <c r="AB9" s="13">
        <v>11990</v>
      </c>
      <c r="AC9" s="30">
        <v>3381</v>
      </c>
      <c r="AD9" s="14"/>
      <c r="AE9" s="14"/>
      <c r="AF9" s="14"/>
      <c r="AG9" s="14"/>
      <c r="AH9" s="13" t="s">
        <v>168</v>
      </c>
      <c r="AI9" s="4" t="s">
        <v>175</v>
      </c>
      <c r="AJ9" s="37" t="s">
        <v>358</v>
      </c>
      <c r="AK9" s="13" t="s">
        <v>80</v>
      </c>
      <c r="AL9" s="4" t="s">
        <v>158</v>
      </c>
      <c r="AM9" s="13" t="s">
        <v>353</v>
      </c>
      <c r="AN9" s="4" t="s">
        <v>202</v>
      </c>
      <c r="AO9" s="15" t="s">
        <v>70</v>
      </c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20" t="e">
        <f>IF(CONCATENATE(A9,B9,C9,D9,E9,F9,G9,H9,I9,J9,K9,L9,M9,N9,O9,P9,Q9,R9,S9,T9,U9,V9,W9,X9,Y9,Z9,AA9,AB9,AC9,AD9,AE9,AF9,AG9,AH9,AI9,AJ9,AK9,AL9,AM9,AN9,AO9,AP9,AQ9,AR9,AS9,AT9,AU9,AV9,AW9,AX9,AY9,AZ9,BA9,BB9,BC9,BD9,BE9,BF9,BG9,BH9,BI9,BJ9,BK9)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9" s="38" t="s">
        <v>252</v>
      </c>
      <c r="BN9" s="8" t="s">
        <v>147</v>
      </c>
      <c r="BO9" s="48"/>
      <c r="BP9" s="35" t="str">
        <f t="shared" si="0"/>
        <v>FR</v>
      </c>
      <c r="BQ9" s="35" t="str">
        <f t="shared" si="1"/>
        <v>FS_PF_Energie Alter</v>
      </c>
      <c r="BR9" s="35" t="str">
        <f t="shared" si="2"/>
        <v>IVECO</v>
      </c>
      <c r="BS9" s="35" t="str">
        <f t="shared" si="3"/>
        <v>EUROCARGO</v>
      </c>
      <c r="BT9" s="35" t="str">
        <f t="shared" si="4"/>
        <v>120EL21 G CF - 11 Pal - TK V1000 SP</v>
      </c>
      <c r="BU9" s="35">
        <f t="shared" si="5"/>
        <v>0</v>
      </c>
      <c r="BV9" s="4" t="s">
        <v>269</v>
      </c>
      <c r="BW9" s="5" t="s">
        <v>65</v>
      </c>
      <c r="BX9" s="35" t="str">
        <f t="shared" si="6"/>
        <v>H02</v>
      </c>
      <c r="BY9" s="44" t="str">
        <f t="shared" si="7"/>
        <v>FRFS_PF_Energie Alter120EL21 G CF - 11 Pal - TK V1000 SPH02</v>
      </c>
      <c r="BZ9" s="48"/>
      <c r="CA9" s="35">
        <v>11990</v>
      </c>
      <c r="CB9" s="35">
        <v>11990</v>
      </c>
      <c r="CC9" s="35" t="e">
        <f>VLOOKUP(BY9,#REF!,20,0)</f>
        <v>#REF!</v>
      </c>
      <c r="CD9" s="48"/>
      <c r="CE9" s="36">
        <v>3381</v>
      </c>
      <c r="CF9" s="36">
        <v>3381</v>
      </c>
      <c r="CG9" s="36"/>
    </row>
    <row r="10" spans="1:179" ht="20.100000000000001" customHeight="1" x14ac:dyDescent="0.25">
      <c r="A10" s="13" t="s">
        <v>78</v>
      </c>
      <c r="B10" s="5" t="s">
        <v>255</v>
      </c>
      <c r="C10" s="5" t="s">
        <v>256</v>
      </c>
      <c r="D10" s="1"/>
      <c r="E10" s="4" t="s">
        <v>34</v>
      </c>
      <c r="F10" s="13" t="s">
        <v>38</v>
      </c>
      <c r="G10" s="13" t="s">
        <v>42</v>
      </c>
      <c r="H10" s="13" t="s">
        <v>29</v>
      </c>
      <c r="I10" s="13" t="s">
        <v>7</v>
      </c>
      <c r="J10" s="4"/>
      <c r="K10" s="13" t="s">
        <v>30</v>
      </c>
      <c r="L10" s="13"/>
      <c r="M10" s="4" t="s">
        <v>270</v>
      </c>
      <c r="N10" s="6" t="s">
        <v>64</v>
      </c>
      <c r="O10" s="37">
        <v>6592</v>
      </c>
      <c r="P10" s="37">
        <v>2454</v>
      </c>
      <c r="Q10" s="37">
        <v>2400</v>
      </c>
      <c r="R10" s="13"/>
      <c r="S10" s="13">
        <v>3670</v>
      </c>
      <c r="T10" s="13">
        <v>2600</v>
      </c>
      <c r="U10" s="13">
        <v>8832</v>
      </c>
      <c r="V10" s="13">
        <v>1160</v>
      </c>
      <c r="W10" s="13">
        <v>4815</v>
      </c>
      <c r="X10" s="13">
        <v>2655</v>
      </c>
      <c r="Y10" s="13"/>
      <c r="Z10" s="37">
        <v>15</v>
      </c>
      <c r="AA10" s="13" t="s">
        <v>332</v>
      </c>
      <c r="AB10" s="13">
        <v>11990</v>
      </c>
      <c r="AC10" s="30">
        <v>3957</v>
      </c>
      <c r="AD10" s="14"/>
      <c r="AE10" s="14"/>
      <c r="AF10" s="14"/>
      <c r="AG10" s="14"/>
      <c r="AH10" s="13" t="s">
        <v>168</v>
      </c>
      <c r="AI10" s="4" t="s">
        <v>175</v>
      </c>
      <c r="AJ10" s="37" t="s">
        <v>358</v>
      </c>
      <c r="AK10" s="13" t="s">
        <v>80</v>
      </c>
      <c r="AL10" s="4" t="s">
        <v>157</v>
      </c>
      <c r="AM10" s="4" t="s">
        <v>249</v>
      </c>
      <c r="AN10" s="4" t="s">
        <v>202</v>
      </c>
      <c r="AO10" s="15" t="s">
        <v>69</v>
      </c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20" t="e">
        <f>IF(CONCATENATE(A10,B10,C10,D10,E10,F10,G10,H10,I10,J10,K10,L10,M10,N10,O10,P10,Q10,R10,S10,T10,U10,V10,W10,X10,Y10,Z10,AA10,AB10,AC10,AD10,AE10,AF10,AG10,AH10,AI10,AJ10,AK10,AL10,AM10,AN10,AO10,AP10,AQ10,AR10,AS10,AT10,AU10,AV10,AW10,AX10,AY10,AZ10,BA10,BB10,BC10,BD10,BE10,BF10,BG10,BH10,BI10,BJ10,BK10)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0" s="38" t="s">
        <v>252</v>
      </c>
      <c r="BN10" s="8" t="s">
        <v>141</v>
      </c>
      <c r="BO10" s="48"/>
      <c r="BP10" s="35" t="str">
        <f t="shared" si="0"/>
        <v>FR</v>
      </c>
      <c r="BQ10" s="35" t="str">
        <f t="shared" si="1"/>
        <v>FS_PF_Energie Alter</v>
      </c>
      <c r="BR10" s="35" t="str">
        <f t="shared" si="2"/>
        <v>IVECO</v>
      </c>
      <c r="BS10" s="35" t="str">
        <f t="shared" si="3"/>
        <v>EUROCARGO</v>
      </c>
      <c r="BT10" s="35" t="str">
        <f t="shared" si="4"/>
        <v>120EL21 G CF - SUPRA GAZ</v>
      </c>
      <c r="BU10" s="35">
        <f t="shared" si="5"/>
        <v>0</v>
      </c>
      <c r="BV10" s="4" t="s">
        <v>270</v>
      </c>
      <c r="BW10" s="6" t="s">
        <v>64</v>
      </c>
      <c r="BX10" s="35" t="str">
        <f t="shared" si="6"/>
        <v>H01</v>
      </c>
      <c r="BY10" s="44" t="str">
        <f t="shared" si="7"/>
        <v>FRFS_PF_Energie Alter120EL21 G CF - SUPRA GAZH01</v>
      </c>
      <c r="BZ10" s="48"/>
      <c r="CA10" s="35">
        <v>11990</v>
      </c>
      <c r="CB10" s="35">
        <v>11990</v>
      </c>
      <c r="CC10" s="35" t="e">
        <f>VLOOKUP(BY10,#REF!,20,0)</f>
        <v>#REF!</v>
      </c>
      <c r="CD10" s="48"/>
      <c r="CE10" s="36">
        <v>3957</v>
      </c>
      <c r="CF10" s="36">
        <v>3957</v>
      </c>
      <c r="CG10" s="36"/>
    </row>
    <row r="11" spans="1:179" ht="20.100000000000001" customHeight="1" x14ac:dyDescent="0.25">
      <c r="A11" s="13" t="s">
        <v>78</v>
      </c>
      <c r="B11" s="5" t="s">
        <v>255</v>
      </c>
      <c r="C11" s="5" t="s">
        <v>256</v>
      </c>
      <c r="D11" s="1"/>
      <c r="E11" s="4" t="s">
        <v>34</v>
      </c>
      <c r="F11" s="13" t="s">
        <v>38</v>
      </c>
      <c r="G11" s="13" t="s">
        <v>42</v>
      </c>
      <c r="H11" s="13" t="s">
        <v>12</v>
      </c>
      <c r="I11" s="13" t="s">
        <v>7</v>
      </c>
      <c r="J11" s="13"/>
      <c r="K11" s="13" t="s">
        <v>30</v>
      </c>
      <c r="L11" s="13"/>
      <c r="M11" s="4" t="s">
        <v>271</v>
      </c>
      <c r="N11" s="5" t="s">
        <v>65</v>
      </c>
      <c r="O11" s="37">
        <v>6592</v>
      </c>
      <c r="P11" s="37">
        <v>2454</v>
      </c>
      <c r="Q11" s="37">
        <v>2400</v>
      </c>
      <c r="R11" s="13"/>
      <c r="S11" s="13">
        <v>3670</v>
      </c>
      <c r="T11" s="13">
        <v>2600</v>
      </c>
      <c r="U11" s="13">
        <v>8832</v>
      </c>
      <c r="V11" s="13">
        <v>1160</v>
      </c>
      <c r="W11" s="13">
        <v>4815</v>
      </c>
      <c r="X11" s="13">
        <v>2655</v>
      </c>
      <c r="Y11" s="13"/>
      <c r="Z11" s="37">
        <v>15</v>
      </c>
      <c r="AA11" s="13" t="s">
        <v>316</v>
      </c>
      <c r="AB11" s="13">
        <v>11990</v>
      </c>
      <c r="AC11" s="30">
        <v>3381</v>
      </c>
      <c r="AD11" s="14"/>
      <c r="AE11" s="14"/>
      <c r="AF11" s="14"/>
      <c r="AG11" s="14"/>
      <c r="AH11" s="13" t="s">
        <v>168</v>
      </c>
      <c r="AI11" s="4" t="s">
        <v>175</v>
      </c>
      <c r="AJ11" s="37" t="s">
        <v>358</v>
      </c>
      <c r="AK11" s="13" t="s">
        <v>80</v>
      </c>
      <c r="AL11" s="4" t="s">
        <v>158</v>
      </c>
      <c r="AM11" s="13" t="s">
        <v>248</v>
      </c>
      <c r="AN11" s="4" t="s">
        <v>202</v>
      </c>
      <c r="AO11" s="15" t="s">
        <v>70</v>
      </c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20" t="e">
        <f>IF(CONCATENATE(A11,B11,C11,D11,E11,F11,G11,H11,I11,J11,K11,L11,M11,N11,O11,P11,Q11,R11,S11,T11,U11,V11,W11,X11,Y11,Z11,AA11,AB11,AC11,AD11,AE11,AF11,AG11,AH11,AI11,AJ11,AK11,AL11,AM11,AN11,AO11,AP11,AQ11,AR11,AS11,AT11,AU11,AV11,AW11,AX11,AY11,AZ11,BA11,BB11,BC11,BD11,BE11,BF11,BG11,BH11,BI11,BJ11,BK11)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1" s="38" t="s">
        <v>252</v>
      </c>
      <c r="BN11" s="8" t="s">
        <v>147</v>
      </c>
      <c r="BO11" s="48"/>
      <c r="BP11" s="35" t="str">
        <f t="shared" si="0"/>
        <v>FR</v>
      </c>
      <c r="BQ11" s="35" t="str">
        <f t="shared" si="1"/>
        <v>FS_PF_Energie Alter</v>
      </c>
      <c r="BR11" s="35" t="str">
        <f t="shared" si="2"/>
        <v>IVECO</v>
      </c>
      <c r="BS11" s="35" t="str">
        <f t="shared" si="3"/>
        <v>EUROCARGO</v>
      </c>
      <c r="BT11" s="35" t="str">
        <f t="shared" si="4"/>
        <v>120EL21 G CF - SUPRA GAZ MT</v>
      </c>
      <c r="BU11" s="35">
        <f t="shared" si="5"/>
        <v>0</v>
      </c>
      <c r="BV11" s="4" t="s">
        <v>271</v>
      </c>
      <c r="BW11" s="5" t="s">
        <v>65</v>
      </c>
      <c r="BX11" s="35" t="str">
        <f t="shared" si="6"/>
        <v>H02</v>
      </c>
      <c r="BY11" s="44" t="str">
        <f t="shared" si="7"/>
        <v>FRFS_PF_Energie Alter120EL21 G CF - SUPRA GAZ MTH02</v>
      </c>
      <c r="BZ11" s="48"/>
      <c r="CA11" s="35">
        <v>11990</v>
      </c>
      <c r="CB11" s="35">
        <v>11990</v>
      </c>
      <c r="CC11" s="35" t="e">
        <f>VLOOKUP(BY11,#REF!,20,0)</f>
        <v>#REF!</v>
      </c>
      <c r="CD11" s="48"/>
      <c r="CE11" s="36">
        <v>3381</v>
      </c>
      <c r="CF11" s="36">
        <v>3381</v>
      </c>
      <c r="CG11" s="36"/>
    </row>
    <row r="12" spans="1:179" ht="20.100000000000001" customHeight="1" x14ac:dyDescent="0.25">
      <c r="A12" s="13" t="s">
        <v>78</v>
      </c>
      <c r="B12" s="5" t="s">
        <v>255</v>
      </c>
      <c r="C12" s="5" t="s">
        <v>256</v>
      </c>
      <c r="D12" s="1"/>
      <c r="E12" s="4" t="s">
        <v>34</v>
      </c>
      <c r="F12" s="13" t="s">
        <v>38</v>
      </c>
      <c r="G12" s="1" t="s">
        <v>42</v>
      </c>
      <c r="H12" s="13" t="s">
        <v>29</v>
      </c>
      <c r="I12" s="13" t="s">
        <v>7</v>
      </c>
      <c r="J12" s="13"/>
      <c r="K12" s="13" t="s">
        <v>30</v>
      </c>
      <c r="L12" s="13"/>
      <c r="M12" s="4" t="s">
        <v>262</v>
      </c>
      <c r="N12" s="6" t="s">
        <v>64</v>
      </c>
      <c r="O12" s="37">
        <v>6592</v>
      </c>
      <c r="P12" s="37">
        <v>2454</v>
      </c>
      <c r="Q12" s="37">
        <v>2400</v>
      </c>
      <c r="R12" s="13"/>
      <c r="S12" s="13">
        <v>3670</v>
      </c>
      <c r="T12" s="13">
        <v>2600</v>
      </c>
      <c r="U12" s="13">
        <v>8832</v>
      </c>
      <c r="V12" s="13">
        <v>1150</v>
      </c>
      <c r="W12" s="13">
        <v>4815</v>
      </c>
      <c r="X12" s="13">
        <v>2655</v>
      </c>
      <c r="Y12" s="13"/>
      <c r="Z12" s="37">
        <v>15</v>
      </c>
      <c r="AA12" s="13" t="s">
        <v>333</v>
      </c>
      <c r="AB12" s="13">
        <v>16000</v>
      </c>
      <c r="AC12" s="30">
        <v>6883</v>
      </c>
      <c r="AD12" s="14"/>
      <c r="AE12" s="14"/>
      <c r="AF12" s="14"/>
      <c r="AG12" s="14"/>
      <c r="AH12" s="13" t="s">
        <v>169</v>
      </c>
      <c r="AI12" s="4" t="s">
        <v>175</v>
      </c>
      <c r="AJ12" s="37" t="s">
        <v>360</v>
      </c>
      <c r="AK12" s="13" t="s">
        <v>79</v>
      </c>
      <c r="AL12" s="4" t="s">
        <v>159</v>
      </c>
      <c r="AM12" s="13" t="s">
        <v>176</v>
      </c>
      <c r="AN12" s="4" t="s">
        <v>214</v>
      </c>
      <c r="AO12" s="15" t="s">
        <v>71</v>
      </c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20" t="e">
        <f>IF(CONCATENATE(A12,B12,C12,D12,E12,F12,G12,H12,I12,J12,K12,L12,M12,N12,O12,P12,Q12,R12,S12,T12,U12,V12,W12,X12,Y12,Z12,AA12,AB12,AC12,AD12,AE12,AF12,AG12,AH12,AI12,AJ12,AK12,AL12,AM12,AN12,AO12,AP12,AQ12,AR12,AS12,AT12,AU12,AV12,AW12,AX12,AY12,AZ12,BA12,BB12,BC12,BD12,BE12,BF12,BG12,BH12,BI12,BJ12,BK12)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2" s="38" t="s">
        <v>252</v>
      </c>
      <c r="BN12" s="8" t="s">
        <v>142</v>
      </c>
      <c r="BO12" s="48"/>
      <c r="BP12" s="35" t="str">
        <f t="shared" si="0"/>
        <v>FR</v>
      </c>
      <c r="BQ12" s="35" t="str">
        <f t="shared" si="1"/>
        <v>FS_PF_Energie Alter</v>
      </c>
      <c r="BR12" s="35" t="str">
        <f t="shared" si="2"/>
        <v>IVECO</v>
      </c>
      <c r="BS12" s="35" t="str">
        <f t="shared" si="3"/>
        <v>EUROCARGO</v>
      </c>
      <c r="BT12" s="35" t="str">
        <f t="shared" si="4"/>
        <v>160E21 G CF - 15 Pal - SUPRA 750</v>
      </c>
      <c r="BU12" s="35">
        <f t="shared" si="5"/>
        <v>0</v>
      </c>
      <c r="BV12" s="4" t="s">
        <v>262</v>
      </c>
      <c r="BW12" s="6" t="s">
        <v>64</v>
      </c>
      <c r="BX12" s="35" t="str">
        <f t="shared" si="6"/>
        <v>H01</v>
      </c>
      <c r="BY12" s="44" t="str">
        <f t="shared" si="7"/>
        <v>FRFS_PF_Energie Alter160E21 G CF - 15 Pal - SUPRA 750H01</v>
      </c>
      <c r="BZ12" s="48"/>
      <c r="CA12" s="35">
        <v>16000</v>
      </c>
      <c r="CB12" s="35">
        <v>16000</v>
      </c>
      <c r="CC12" s="35" t="e">
        <f>VLOOKUP(BY12,#REF!,20,0)</f>
        <v>#REF!</v>
      </c>
      <c r="CD12" s="48"/>
      <c r="CE12" s="36">
        <v>6883</v>
      </c>
      <c r="CF12" s="36">
        <v>6883</v>
      </c>
      <c r="CG12" s="36"/>
    </row>
    <row r="13" spans="1:179" ht="20.100000000000001" customHeight="1" x14ac:dyDescent="0.25">
      <c r="A13" s="13" t="s">
        <v>78</v>
      </c>
      <c r="B13" s="5" t="s">
        <v>255</v>
      </c>
      <c r="C13" s="5" t="s">
        <v>256</v>
      </c>
      <c r="D13" s="1"/>
      <c r="E13" s="4" t="s">
        <v>34</v>
      </c>
      <c r="F13" s="13" t="s">
        <v>38</v>
      </c>
      <c r="G13" s="1" t="s">
        <v>42</v>
      </c>
      <c r="H13" s="13" t="s">
        <v>12</v>
      </c>
      <c r="I13" s="13" t="s">
        <v>7</v>
      </c>
      <c r="J13" s="13"/>
      <c r="K13" s="13" t="s">
        <v>30</v>
      </c>
      <c r="L13" s="13"/>
      <c r="M13" s="4" t="s">
        <v>263</v>
      </c>
      <c r="N13" s="5" t="s">
        <v>65</v>
      </c>
      <c r="O13" s="37">
        <v>6592</v>
      </c>
      <c r="P13" s="37">
        <v>2454</v>
      </c>
      <c r="Q13" s="37">
        <v>2400</v>
      </c>
      <c r="R13" s="13"/>
      <c r="S13" s="13">
        <v>3670</v>
      </c>
      <c r="T13" s="13">
        <v>2600</v>
      </c>
      <c r="U13" s="13">
        <v>8832</v>
      </c>
      <c r="V13" s="13">
        <v>1150</v>
      </c>
      <c r="W13" s="13">
        <v>4815</v>
      </c>
      <c r="X13" s="13">
        <v>2655</v>
      </c>
      <c r="Y13" s="13"/>
      <c r="Z13" s="37">
        <v>15</v>
      </c>
      <c r="AA13" s="13" t="s">
        <v>317</v>
      </c>
      <c r="AB13" s="13">
        <v>16000</v>
      </c>
      <c r="AC13" s="30">
        <v>6337</v>
      </c>
      <c r="AD13" s="14"/>
      <c r="AE13" s="14"/>
      <c r="AF13" s="14"/>
      <c r="AG13" s="14"/>
      <c r="AH13" s="13" t="s">
        <v>169</v>
      </c>
      <c r="AI13" s="4" t="s">
        <v>175</v>
      </c>
      <c r="AJ13" s="37" t="s">
        <v>360</v>
      </c>
      <c r="AK13" s="13" t="s">
        <v>79</v>
      </c>
      <c r="AL13" s="4" t="s">
        <v>160</v>
      </c>
      <c r="AM13" s="13" t="s">
        <v>146</v>
      </c>
      <c r="AN13" s="4" t="s">
        <v>214</v>
      </c>
      <c r="AO13" s="15" t="s">
        <v>72</v>
      </c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20" t="e">
        <f>IF(CONCATENATE(A13,B13,C13,D13,E13,F13,G13,H13,I13,J13,K13,L13,M13,N13,O13,P13,Q13,R13,S13,T13,U13,V13,W13,X13,Y13,Z13,AA13,AB13,AC13,AD13,AE13,AF13,AG13,AH13,AI13,AJ13,AK13,AL13,AM13,AN13,AO13,AP13,AQ13,AR13,AS13,AT13,AU13,AV13,AW13,AX13,AY13,AZ13,BA13,BB13,BC13,BD13,BE13,BF13,BG13,BH13,BI13,BJ13,BK13)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3" s="38" t="s">
        <v>252</v>
      </c>
      <c r="BN13" s="8" t="s">
        <v>147</v>
      </c>
      <c r="BO13" s="48"/>
      <c r="BP13" s="35" t="str">
        <f t="shared" si="0"/>
        <v>FR</v>
      </c>
      <c r="BQ13" s="35" t="str">
        <f t="shared" si="1"/>
        <v>FS_PF_Energie Alter</v>
      </c>
      <c r="BR13" s="35" t="str">
        <f t="shared" si="2"/>
        <v>IVECO</v>
      </c>
      <c r="BS13" s="35" t="str">
        <f t="shared" si="3"/>
        <v>EUROCARGO</v>
      </c>
      <c r="BT13" s="35" t="str">
        <f t="shared" si="4"/>
        <v>160E21 G CF - 15 Pal - SUPRA 1150 MT</v>
      </c>
      <c r="BU13" s="35">
        <f t="shared" si="5"/>
        <v>0</v>
      </c>
      <c r="BV13" s="4" t="s">
        <v>263</v>
      </c>
      <c r="BW13" s="5" t="s">
        <v>65</v>
      </c>
      <c r="BX13" s="35" t="str">
        <f t="shared" si="6"/>
        <v>H02</v>
      </c>
      <c r="BY13" s="44" t="str">
        <f t="shared" si="7"/>
        <v>FRFS_PF_Energie Alter160E21 G CF - 15 Pal - SUPRA 1150 MTH02</v>
      </c>
      <c r="BZ13" s="48"/>
      <c r="CA13" s="35">
        <v>16000</v>
      </c>
      <c r="CB13" s="35">
        <v>16000</v>
      </c>
      <c r="CC13" s="35" t="e">
        <f>VLOOKUP(BY13,#REF!,20,0)</f>
        <v>#REF!</v>
      </c>
      <c r="CD13" s="48"/>
      <c r="CE13" s="36">
        <v>6337</v>
      </c>
      <c r="CF13" s="36">
        <v>6337</v>
      </c>
      <c r="CG13" s="36"/>
    </row>
    <row r="14" spans="1:179" ht="20.100000000000001" customHeight="1" x14ac:dyDescent="0.25">
      <c r="A14" s="13" t="s">
        <v>78</v>
      </c>
      <c r="B14" s="5" t="s">
        <v>255</v>
      </c>
      <c r="C14" s="5" t="s">
        <v>256</v>
      </c>
      <c r="D14" s="1"/>
      <c r="E14" s="4" t="s">
        <v>34</v>
      </c>
      <c r="F14" s="13" t="s">
        <v>38</v>
      </c>
      <c r="G14" s="1" t="s">
        <v>42</v>
      </c>
      <c r="H14" s="13" t="s">
        <v>29</v>
      </c>
      <c r="I14" s="13" t="s">
        <v>7</v>
      </c>
      <c r="J14" s="13"/>
      <c r="K14" s="13" t="s">
        <v>30</v>
      </c>
      <c r="L14" s="13"/>
      <c r="M14" s="4" t="s">
        <v>264</v>
      </c>
      <c r="N14" s="6" t="s">
        <v>64</v>
      </c>
      <c r="O14" s="37">
        <v>6592</v>
      </c>
      <c r="P14" s="37">
        <v>2454</v>
      </c>
      <c r="Q14" s="37">
        <v>2400</v>
      </c>
      <c r="R14" s="13"/>
      <c r="S14" s="13">
        <v>3670</v>
      </c>
      <c r="T14" s="13">
        <v>2600</v>
      </c>
      <c r="U14" s="13">
        <v>8832</v>
      </c>
      <c r="V14" s="13">
        <v>1150</v>
      </c>
      <c r="W14" s="13">
        <v>4815</v>
      </c>
      <c r="X14" s="13">
        <v>2655</v>
      </c>
      <c r="Y14" s="13"/>
      <c r="Z14" s="37">
        <v>15</v>
      </c>
      <c r="AA14" s="13" t="s">
        <v>334</v>
      </c>
      <c r="AB14" s="13">
        <v>16000</v>
      </c>
      <c r="AC14" s="30">
        <v>6883</v>
      </c>
      <c r="AD14" s="14"/>
      <c r="AE14" s="14"/>
      <c r="AF14" s="14"/>
      <c r="AG14" s="14"/>
      <c r="AH14" s="13" t="s">
        <v>169</v>
      </c>
      <c r="AI14" s="4" t="s">
        <v>175</v>
      </c>
      <c r="AJ14" s="37" t="s">
        <v>360</v>
      </c>
      <c r="AK14" s="13" t="s">
        <v>79</v>
      </c>
      <c r="AL14" s="4" t="s">
        <v>159</v>
      </c>
      <c r="AM14" s="13" t="s">
        <v>249</v>
      </c>
      <c r="AN14" s="4" t="s">
        <v>214</v>
      </c>
      <c r="AO14" s="15" t="s">
        <v>71</v>
      </c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20" t="e">
        <f>IF(CONCATENATE(A14,B14,C14,D14,E14,F14,G14,H14,I14,J14,K14,L14,M14,N14,O14,P14,Q14,R14,S14,T14,U14,V14,W14,X14,Y14,Z14,AA14,AB14,AC14,AD14,AE14,AF14,AG14,AH14,AI14,AJ14,AK14,AL14,AM14,AN14,AO14,AP14,AQ14,AR14,AS14,AT14,AU14,AV14,AW14,AX14,AY14,AZ14,BA14,BB14,BC14,BD14,BE14,BF14,BG14,BH14,BI14,BJ14,BK14)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4" s="38" t="s">
        <v>252</v>
      </c>
      <c r="BN14" s="8" t="s">
        <v>142</v>
      </c>
      <c r="BO14" s="48"/>
      <c r="BP14" s="35" t="str">
        <f t="shared" si="0"/>
        <v>FR</v>
      </c>
      <c r="BQ14" s="35" t="str">
        <f t="shared" si="1"/>
        <v>FS_PF_Energie Alter</v>
      </c>
      <c r="BR14" s="35" t="str">
        <f t="shared" si="2"/>
        <v>IVECO</v>
      </c>
      <c r="BS14" s="35" t="str">
        <f t="shared" si="3"/>
        <v>EUROCARGO</v>
      </c>
      <c r="BT14" s="35" t="str">
        <f t="shared" si="4"/>
        <v>160E21 G CF - 15 Pal - SUPRA GAZ</v>
      </c>
      <c r="BU14" s="35">
        <f t="shared" si="5"/>
        <v>0</v>
      </c>
      <c r="BV14" s="4" t="s">
        <v>264</v>
      </c>
      <c r="BW14" s="6" t="s">
        <v>64</v>
      </c>
      <c r="BX14" s="35" t="str">
        <f t="shared" si="6"/>
        <v>H01</v>
      </c>
      <c r="BY14" s="44" t="str">
        <f t="shared" si="7"/>
        <v>FRFS_PF_Energie Alter160E21 G CF - 15 Pal - SUPRA GAZH01</v>
      </c>
      <c r="BZ14" s="48"/>
      <c r="CA14" s="35">
        <v>16000</v>
      </c>
      <c r="CB14" s="35">
        <v>16000</v>
      </c>
      <c r="CC14" s="35" t="e">
        <f>VLOOKUP(BY14,#REF!,20,0)</f>
        <v>#REF!</v>
      </c>
      <c r="CD14" s="48"/>
      <c r="CE14" s="36">
        <v>6883</v>
      </c>
      <c r="CF14" s="36">
        <v>6883</v>
      </c>
      <c r="CG14" s="36"/>
    </row>
    <row r="15" spans="1:179" ht="20.100000000000001" customHeight="1" x14ac:dyDescent="0.25">
      <c r="A15" s="13" t="s">
        <v>78</v>
      </c>
      <c r="B15" s="5" t="s">
        <v>255</v>
      </c>
      <c r="C15" s="5" t="s">
        <v>256</v>
      </c>
      <c r="D15" s="1"/>
      <c r="E15" s="4" t="s">
        <v>34</v>
      </c>
      <c r="F15" s="13" t="s">
        <v>38</v>
      </c>
      <c r="G15" s="1" t="s">
        <v>42</v>
      </c>
      <c r="H15" s="13" t="s">
        <v>12</v>
      </c>
      <c r="I15" s="13" t="s">
        <v>7</v>
      </c>
      <c r="J15" s="13"/>
      <c r="K15" s="13" t="s">
        <v>30</v>
      </c>
      <c r="L15" s="13"/>
      <c r="M15" s="4" t="s">
        <v>265</v>
      </c>
      <c r="N15" s="5" t="s">
        <v>65</v>
      </c>
      <c r="O15" s="37">
        <v>6592</v>
      </c>
      <c r="P15" s="37">
        <v>2454</v>
      </c>
      <c r="Q15" s="37">
        <v>2400</v>
      </c>
      <c r="R15" s="13"/>
      <c r="S15" s="13">
        <v>3670</v>
      </c>
      <c r="T15" s="13">
        <v>2600</v>
      </c>
      <c r="U15" s="13">
        <v>8832</v>
      </c>
      <c r="V15" s="13">
        <v>1150</v>
      </c>
      <c r="W15" s="13">
        <v>4815</v>
      </c>
      <c r="X15" s="13">
        <v>2655</v>
      </c>
      <c r="Y15" s="13"/>
      <c r="Z15" s="37">
        <v>15</v>
      </c>
      <c r="AA15" s="13" t="s">
        <v>318</v>
      </c>
      <c r="AB15" s="13">
        <v>16000</v>
      </c>
      <c r="AC15" s="30">
        <v>6337</v>
      </c>
      <c r="AD15" s="14"/>
      <c r="AE15" s="14"/>
      <c r="AF15" s="14"/>
      <c r="AG15" s="14"/>
      <c r="AH15" s="13" t="s">
        <v>169</v>
      </c>
      <c r="AI15" s="4" t="s">
        <v>175</v>
      </c>
      <c r="AJ15" s="37" t="s">
        <v>360</v>
      </c>
      <c r="AK15" s="13" t="s">
        <v>79</v>
      </c>
      <c r="AL15" s="4" t="s">
        <v>160</v>
      </c>
      <c r="AM15" s="13" t="s">
        <v>248</v>
      </c>
      <c r="AN15" s="4" t="s">
        <v>214</v>
      </c>
      <c r="AO15" s="15" t="s">
        <v>72</v>
      </c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20" t="e">
        <f>IF(CONCATENATE(A15,B15,C15,D15,E15,F15,G15,H15,I15,J15,K15,L15,M15,N15,O15,P15,Q15,R15,S15,T15,U15,V15,W15,X15,Y15,Z15,AA15,AB15,AC15,AD15,AE15,AF15,AG15,AH15,AI15,AJ15,AK15,AL15,AM15,AN15,AO15,AP15,AQ15,AR15,AS15,AT15,AU15,AV15,AW15,AX15,AY15,AZ15,BA15,BB15,BC15,BD15,BE15,BF15,BG15,BH15,BI15,BJ15,BK15)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5" s="38" t="s">
        <v>252</v>
      </c>
      <c r="BN15" s="8" t="s">
        <v>147</v>
      </c>
      <c r="BO15" s="48"/>
      <c r="BP15" s="35" t="str">
        <f t="shared" si="0"/>
        <v>FR</v>
      </c>
      <c r="BQ15" s="35" t="str">
        <f t="shared" si="1"/>
        <v>FS_PF_Energie Alter</v>
      </c>
      <c r="BR15" s="35" t="str">
        <f t="shared" si="2"/>
        <v>IVECO</v>
      </c>
      <c r="BS15" s="35" t="str">
        <f t="shared" si="3"/>
        <v>EUROCARGO</v>
      </c>
      <c r="BT15" s="35" t="str">
        <f t="shared" si="4"/>
        <v>160E21 G CF - 15 Pal - SUPRA GAZ MT</v>
      </c>
      <c r="BU15" s="35">
        <f t="shared" si="5"/>
        <v>0</v>
      </c>
      <c r="BV15" s="4" t="s">
        <v>265</v>
      </c>
      <c r="BW15" s="5" t="s">
        <v>65</v>
      </c>
      <c r="BX15" s="35" t="str">
        <f t="shared" si="6"/>
        <v>H02</v>
      </c>
      <c r="BY15" s="44" t="str">
        <f t="shared" si="7"/>
        <v>FRFS_PF_Energie Alter160E21 G CF - 15 Pal - SUPRA GAZ MTH02</v>
      </c>
      <c r="BZ15" s="48"/>
      <c r="CA15" s="35">
        <v>16000</v>
      </c>
      <c r="CB15" s="35">
        <v>16000</v>
      </c>
      <c r="CC15" s="35" t="e">
        <f>VLOOKUP(BY15,#REF!,20,0)</f>
        <v>#REF!</v>
      </c>
      <c r="CD15" s="48"/>
      <c r="CE15" s="36">
        <v>6337</v>
      </c>
      <c r="CF15" s="36">
        <v>6337</v>
      </c>
      <c r="CG15" s="36"/>
    </row>
    <row r="16" spans="1:179" ht="20.100000000000001" customHeight="1" x14ac:dyDescent="0.25">
      <c r="A16" s="13" t="s">
        <v>78</v>
      </c>
      <c r="B16" s="5" t="s">
        <v>255</v>
      </c>
      <c r="C16" s="5" t="s">
        <v>256</v>
      </c>
      <c r="D16" s="1"/>
      <c r="E16" s="4" t="s">
        <v>34</v>
      </c>
      <c r="F16" s="13" t="s">
        <v>38</v>
      </c>
      <c r="G16" s="1" t="s">
        <v>42</v>
      </c>
      <c r="H16" s="13" t="s">
        <v>29</v>
      </c>
      <c r="I16" s="13" t="s">
        <v>7</v>
      </c>
      <c r="J16" s="13"/>
      <c r="K16" s="13" t="s">
        <v>30</v>
      </c>
      <c r="L16" s="13"/>
      <c r="M16" s="4" t="s">
        <v>260</v>
      </c>
      <c r="N16" s="6" t="s">
        <v>64</v>
      </c>
      <c r="O16" s="37">
        <v>6592</v>
      </c>
      <c r="P16" s="37">
        <v>2454</v>
      </c>
      <c r="Q16" s="37">
        <v>2400</v>
      </c>
      <c r="R16" s="13"/>
      <c r="S16" s="13">
        <v>3670</v>
      </c>
      <c r="T16" s="13">
        <v>2600</v>
      </c>
      <c r="U16" s="13">
        <v>8832</v>
      </c>
      <c r="V16" s="13">
        <v>1150</v>
      </c>
      <c r="W16" s="13">
        <v>4815</v>
      </c>
      <c r="X16" s="13">
        <v>2655</v>
      </c>
      <c r="Y16" s="13"/>
      <c r="Z16" s="37">
        <v>15</v>
      </c>
      <c r="AA16" s="13" t="s">
        <v>332</v>
      </c>
      <c r="AB16" s="13">
        <v>16000</v>
      </c>
      <c r="AC16" s="30">
        <v>6883</v>
      </c>
      <c r="AD16" s="14"/>
      <c r="AE16" s="14"/>
      <c r="AF16" s="14"/>
      <c r="AG16" s="14"/>
      <c r="AH16" s="13" t="s">
        <v>169</v>
      </c>
      <c r="AI16" s="4" t="s">
        <v>175</v>
      </c>
      <c r="AJ16" s="37" t="s">
        <v>360</v>
      </c>
      <c r="AK16" s="13" t="s">
        <v>79</v>
      </c>
      <c r="AL16" s="4" t="s">
        <v>159</v>
      </c>
      <c r="AM16" s="13" t="s">
        <v>249</v>
      </c>
      <c r="AN16" s="4" t="s">
        <v>214</v>
      </c>
      <c r="AO16" s="15" t="s">
        <v>71</v>
      </c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20" t="e">
        <f>IF(CONCATENATE(A16,B16,C16,D16,E16,F16,G16,H16,I16,J16,K16,L16,M16,N16,O16,P16,Q16,R16,S16,T16,U16,V16,W16,X16,Y16,Z16,AA16,AB16,AC16,AD16,AE16,AF16,AG16,AH16,AI16,AJ16,AK16,AL16,AM16,AN16,AO16,AP16,AQ16,AR16,AS16,AT16,AU16,AV16,AW16,AX16,AY16,AZ16,BA16,BB16,BC16,BD16,BE16,BF16,BG16,BH16,BI16,BJ16,BK16)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6" s="38" t="s">
        <v>252</v>
      </c>
      <c r="BN16" s="8" t="s">
        <v>142</v>
      </c>
      <c r="BO16" s="48"/>
      <c r="BP16" s="35" t="str">
        <f t="shared" si="0"/>
        <v>FR</v>
      </c>
      <c r="BQ16" s="35" t="str">
        <f t="shared" si="1"/>
        <v>FS_PF_Energie Alter</v>
      </c>
      <c r="BR16" s="35" t="str">
        <f t="shared" si="2"/>
        <v>IVECO</v>
      </c>
      <c r="BS16" s="35" t="str">
        <f t="shared" si="3"/>
        <v>EUROCARGO</v>
      </c>
      <c r="BT16" s="35" t="str">
        <f t="shared" si="4"/>
        <v>160E21 G CF - SUPRA GAZ</v>
      </c>
      <c r="BU16" s="35">
        <f t="shared" si="5"/>
        <v>0</v>
      </c>
      <c r="BV16" s="4" t="s">
        <v>260</v>
      </c>
      <c r="BW16" s="6" t="s">
        <v>64</v>
      </c>
      <c r="BX16" s="35" t="str">
        <f t="shared" si="6"/>
        <v>H01</v>
      </c>
      <c r="BY16" s="44" t="str">
        <f t="shared" si="7"/>
        <v>FRFS_PF_Energie Alter160E21 G CF - SUPRA GAZH01</v>
      </c>
      <c r="BZ16" s="48"/>
      <c r="CA16" s="35">
        <v>16000</v>
      </c>
      <c r="CB16" s="35">
        <v>16000</v>
      </c>
      <c r="CC16" s="35" t="e">
        <f>VLOOKUP(BY16,#REF!,20,0)</f>
        <v>#REF!</v>
      </c>
      <c r="CD16" s="48"/>
      <c r="CE16" s="36">
        <v>6883</v>
      </c>
      <c r="CF16" s="36">
        <v>6883</v>
      </c>
      <c r="CG16" s="36"/>
    </row>
    <row r="17" spans="1:85" ht="20.100000000000001" customHeight="1" x14ac:dyDescent="0.25">
      <c r="A17" s="13" t="s">
        <v>78</v>
      </c>
      <c r="B17" s="5" t="s">
        <v>255</v>
      </c>
      <c r="C17" s="5" t="s">
        <v>256</v>
      </c>
      <c r="D17" s="1"/>
      <c r="E17" s="4" t="s">
        <v>34</v>
      </c>
      <c r="F17" s="13" t="s">
        <v>38</v>
      </c>
      <c r="G17" s="1" t="s">
        <v>42</v>
      </c>
      <c r="H17" s="13" t="s">
        <v>12</v>
      </c>
      <c r="I17" s="13" t="s">
        <v>7</v>
      </c>
      <c r="J17" s="13"/>
      <c r="K17" s="13" t="s">
        <v>30</v>
      </c>
      <c r="L17" s="13"/>
      <c r="M17" s="4" t="s">
        <v>261</v>
      </c>
      <c r="N17" s="5" t="s">
        <v>65</v>
      </c>
      <c r="O17" s="37">
        <v>6592</v>
      </c>
      <c r="P17" s="37">
        <v>2454</v>
      </c>
      <c r="Q17" s="37">
        <v>2400</v>
      </c>
      <c r="R17" s="13"/>
      <c r="S17" s="13">
        <v>3670</v>
      </c>
      <c r="T17" s="13">
        <v>2600</v>
      </c>
      <c r="U17" s="13">
        <v>8832</v>
      </c>
      <c r="V17" s="13">
        <v>1150</v>
      </c>
      <c r="W17" s="13">
        <v>4815</v>
      </c>
      <c r="X17" s="13">
        <v>2655</v>
      </c>
      <c r="Y17" s="13"/>
      <c r="Z17" s="37">
        <v>15</v>
      </c>
      <c r="AA17" s="13" t="s">
        <v>316</v>
      </c>
      <c r="AB17" s="13">
        <v>16000</v>
      </c>
      <c r="AC17" s="30">
        <v>6337</v>
      </c>
      <c r="AD17" s="14"/>
      <c r="AE17" s="14"/>
      <c r="AF17" s="14"/>
      <c r="AG17" s="14"/>
      <c r="AH17" s="13" t="s">
        <v>169</v>
      </c>
      <c r="AI17" s="4" t="s">
        <v>175</v>
      </c>
      <c r="AJ17" s="37" t="s">
        <v>360</v>
      </c>
      <c r="AK17" s="13" t="s">
        <v>79</v>
      </c>
      <c r="AL17" s="4" t="s">
        <v>160</v>
      </c>
      <c r="AM17" s="13" t="s">
        <v>248</v>
      </c>
      <c r="AN17" s="4" t="s">
        <v>214</v>
      </c>
      <c r="AO17" s="15" t="s">
        <v>72</v>
      </c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20" t="e">
        <f>IF(CONCATENATE(A17,B17,C17,D17,E17,F17,G17,H17,I17,J17,K17,L17,M17,N17,O17,P17,Q17,R17,S17,T17,U17,V17,W17,X17,Y17,Z17,AA17,AB17,AC17,AD17,AE17,AF17,AG17,AH17,AI17,AJ17,AK17,AL17,AM17,AN17,AO17,AP17,AQ17,AR17,AS17,AT17,AU17,AV17,AW17,AX17,AY17,AZ17,BA17,BB17,BC17,BD17,BE17,BF17,BG17,BH17,BI17,BJ17,BK17)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7" s="38" t="s">
        <v>252</v>
      </c>
      <c r="BN17" s="8" t="s">
        <v>147</v>
      </c>
      <c r="BO17" s="48"/>
      <c r="BP17" s="35" t="str">
        <f t="shared" si="0"/>
        <v>FR</v>
      </c>
      <c r="BQ17" s="35" t="str">
        <f t="shared" si="1"/>
        <v>FS_PF_Energie Alter</v>
      </c>
      <c r="BR17" s="35" t="str">
        <f t="shared" si="2"/>
        <v>IVECO</v>
      </c>
      <c r="BS17" s="35" t="str">
        <f t="shared" si="3"/>
        <v>EUROCARGO</v>
      </c>
      <c r="BT17" s="35" t="str">
        <f t="shared" si="4"/>
        <v>160E21 G CF - SUPRA GAZ MT</v>
      </c>
      <c r="BU17" s="35">
        <f t="shared" si="5"/>
        <v>0</v>
      </c>
      <c r="BV17" s="4" t="s">
        <v>261</v>
      </c>
      <c r="BW17" s="5" t="s">
        <v>65</v>
      </c>
      <c r="BX17" s="35" t="str">
        <f t="shared" si="6"/>
        <v>H02</v>
      </c>
      <c r="BY17" s="44" t="str">
        <f t="shared" si="7"/>
        <v>FRFS_PF_Energie Alter160E21 G CF - SUPRA GAZ MTH02</v>
      </c>
      <c r="BZ17" s="48"/>
      <c r="CA17" s="35">
        <v>16000</v>
      </c>
      <c r="CB17" s="35">
        <v>16000</v>
      </c>
      <c r="CC17" s="35" t="e">
        <f>VLOOKUP(BY17,#REF!,20,0)</f>
        <v>#REF!</v>
      </c>
      <c r="CD17" s="48"/>
      <c r="CE17" s="36">
        <v>6337</v>
      </c>
      <c r="CF17" s="36">
        <v>6337</v>
      </c>
      <c r="CG17" s="36"/>
    </row>
    <row r="18" spans="1:85" ht="20.100000000000001" customHeight="1" x14ac:dyDescent="0.25">
      <c r="A18" s="13" t="s">
        <v>78</v>
      </c>
      <c r="B18" s="5" t="s">
        <v>255</v>
      </c>
      <c r="C18" s="5" t="s">
        <v>256</v>
      </c>
      <c r="D18" s="1"/>
      <c r="E18" s="13" t="s">
        <v>34</v>
      </c>
      <c r="F18" s="13" t="s">
        <v>227</v>
      </c>
      <c r="G18" s="1" t="s">
        <v>43</v>
      </c>
      <c r="H18" s="13" t="s">
        <v>29</v>
      </c>
      <c r="I18" s="13" t="s">
        <v>7</v>
      </c>
      <c r="J18" s="4"/>
      <c r="K18" s="5" t="s">
        <v>30</v>
      </c>
      <c r="L18" s="5"/>
      <c r="M18" s="13" t="s">
        <v>272</v>
      </c>
      <c r="N18" s="6" t="s">
        <v>64</v>
      </c>
      <c r="O18" s="37">
        <v>7692</v>
      </c>
      <c r="P18" s="37">
        <v>2454</v>
      </c>
      <c r="Q18" s="37">
        <v>2400</v>
      </c>
      <c r="R18" s="13"/>
      <c r="S18" s="13">
        <v>3830</v>
      </c>
      <c r="T18" s="13">
        <v>2600</v>
      </c>
      <c r="U18" s="13">
        <v>9897</v>
      </c>
      <c r="V18" s="13">
        <v>1265</v>
      </c>
      <c r="W18" s="13">
        <v>5670</v>
      </c>
      <c r="X18" s="13">
        <v>2865</v>
      </c>
      <c r="Y18" s="13"/>
      <c r="Z18" s="9">
        <v>18</v>
      </c>
      <c r="AA18" s="13" t="s">
        <v>335</v>
      </c>
      <c r="AB18" s="13">
        <v>19000</v>
      </c>
      <c r="AC18" s="17"/>
      <c r="AD18" s="14"/>
      <c r="AE18" s="14"/>
      <c r="AF18" s="14"/>
      <c r="AG18" s="14"/>
      <c r="AH18" s="13" t="s">
        <v>170</v>
      </c>
      <c r="AI18" s="13" t="s">
        <v>233</v>
      </c>
      <c r="AJ18" s="37" t="s">
        <v>254</v>
      </c>
      <c r="AK18" s="13" t="s">
        <v>238</v>
      </c>
      <c r="AL18" s="13" t="s">
        <v>161</v>
      </c>
      <c r="AM18" s="13" t="s">
        <v>239</v>
      </c>
      <c r="AN18" s="13" t="s">
        <v>214</v>
      </c>
      <c r="AO18" s="32" t="s">
        <v>228</v>
      </c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20" t="e">
        <f>IF(CONCATENATE(A18,B18,C18,D18,E18,F18,G18,H18,I18,J18,K18,L18,M18,N18,O18,P18,Q18,R18,S18,T18,U18,V18,W18,X18,Y18,Z18,AA18,AB18,AC18,AD18,AE18,AF18,AG18,AH18,AI18,AJ18,AK18,AL18,AM18,AN18,AO18,AP18,AQ18,AR18,AS18,AT18,AU18,AV18,AW18,AX18,AY18,AZ18,BA18,BB18,BC18,BD18,BE18,BF18,BG18,BH18,BI18,BJ18,BK18)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8" s="39" t="s">
        <v>252</v>
      </c>
      <c r="BN18" s="13" t="s">
        <v>143</v>
      </c>
      <c r="BO18" s="48"/>
      <c r="BP18" s="35" t="str">
        <f t="shared" si="0"/>
        <v>FR</v>
      </c>
      <c r="BQ18" s="35" t="str">
        <f t="shared" si="1"/>
        <v>FS_PF_Energie Alter</v>
      </c>
      <c r="BR18" s="35" t="str">
        <f t="shared" si="2"/>
        <v>IVECO</v>
      </c>
      <c r="BS18" s="35" t="str">
        <f t="shared" si="3"/>
        <v>S-WAY</v>
      </c>
      <c r="BT18" s="35" t="str">
        <f t="shared" si="4"/>
        <v>AD190S40 G CF - 18 Pal - SUPRA 850 S</v>
      </c>
      <c r="BU18" s="35">
        <f t="shared" si="5"/>
        <v>0</v>
      </c>
      <c r="BV18" s="13" t="s">
        <v>272</v>
      </c>
      <c r="BW18" s="6" t="s">
        <v>64</v>
      </c>
      <c r="BX18" s="35" t="str">
        <f t="shared" si="6"/>
        <v>H01</v>
      </c>
      <c r="BY18" s="44" t="str">
        <f t="shared" si="7"/>
        <v>FRFS_PF_Energie AlterAD190S40 G CF - 18 Pal - SUPRA 850 SH01</v>
      </c>
      <c r="BZ18" s="48"/>
      <c r="CA18" s="35">
        <v>19000</v>
      </c>
      <c r="CB18" s="35">
        <v>19000</v>
      </c>
      <c r="CC18" s="35" t="e">
        <f>VLOOKUP(BY18,#REF!,20,0)</f>
        <v>#REF!</v>
      </c>
      <c r="CD18" s="48"/>
      <c r="CE18" s="36"/>
      <c r="CF18" s="36"/>
      <c r="CG18" s="36"/>
    </row>
    <row r="19" spans="1:85" ht="20.100000000000001" customHeight="1" x14ac:dyDescent="0.25">
      <c r="A19" s="13" t="s">
        <v>78</v>
      </c>
      <c r="B19" s="5" t="s">
        <v>255</v>
      </c>
      <c r="C19" s="5" t="s">
        <v>256</v>
      </c>
      <c r="D19" s="1"/>
      <c r="E19" s="13" t="s">
        <v>34</v>
      </c>
      <c r="F19" s="13" t="s">
        <v>227</v>
      </c>
      <c r="G19" s="1" t="s">
        <v>43</v>
      </c>
      <c r="H19" s="13" t="s">
        <v>12</v>
      </c>
      <c r="I19" s="13" t="s">
        <v>7</v>
      </c>
      <c r="J19" s="4"/>
      <c r="K19" s="5" t="s">
        <v>30</v>
      </c>
      <c r="L19" s="5"/>
      <c r="M19" s="13" t="s">
        <v>273</v>
      </c>
      <c r="N19" s="5" t="s">
        <v>65</v>
      </c>
      <c r="O19" s="37">
        <v>7692</v>
      </c>
      <c r="P19" s="37">
        <v>2454</v>
      </c>
      <c r="Q19" s="37">
        <v>2400</v>
      </c>
      <c r="R19" s="13"/>
      <c r="S19" s="13">
        <v>3830</v>
      </c>
      <c r="T19" s="13">
        <v>2600</v>
      </c>
      <c r="U19" s="13">
        <v>9897</v>
      </c>
      <c r="V19" s="13">
        <v>1265</v>
      </c>
      <c r="W19" s="13">
        <v>5670</v>
      </c>
      <c r="X19" s="13">
        <v>2865</v>
      </c>
      <c r="Y19" s="13"/>
      <c r="Z19" s="9">
        <v>18</v>
      </c>
      <c r="AA19" s="13" t="s">
        <v>319</v>
      </c>
      <c r="AB19" s="13">
        <v>19000</v>
      </c>
      <c r="AC19" s="17"/>
      <c r="AD19" s="14"/>
      <c r="AE19" s="14"/>
      <c r="AF19" s="14"/>
      <c r="AG19" s="14"/>
      <c r="AH19" s="13" t="s">
        <v>170</v>
      </c>
      <c r="AI19" s="13" t="s">
        <v>233</v>
      </c>
      <c r="AJ19" s="37" t="s">
        <v>254</v>
      </c>
      <c r="AK19" s="13" t="s">
        <v>238</v>
      </c>
      <c r="AL19" s="13" t="s">
        <v>162</v>
      </c>
      <c r="AM19" s="13" t="s">
        <v>240</v>
      </c>
      <c r="AN19" s="13" t="s">
        <v>214</v>
      </c>
      <c r="AO19" s="32" t="s">
        <v>237</v>
      </c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20" t="e">
        <f>IF(CONCATENATE(A19,B19,C19,D19,E19,F19,G19,H19,I19,J19,K19,L19,M19,N19,O19,P19,Q19,R19,S19,T19,U19,V19,W19,X19,Y19,Z19,AA19,AB19,AC19,AD19,AE19,AF19,AG19,AH19,AI19,AJ19,AK19,AL19,AM19,AN19,AO19,AP19,AQ19,AR19,AS19,AT19,AU19,AV19,AW19,AX19,AY19,AZ19,BA19,BB19,BC19,BD19,BE19,BF19,BG19,BH19,BI19,BJ19,BK19)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9" s="39" t="s">
        <v>252</v>
      </c>
      <c r="BN19" s="13" t="s">
        <v>147</v>
      </c>
      <c r="BO19" s="48"/>
      <c r="BP19" s="35" t="str">
        <f t="shared" si="0"/>
        <v>FR</v>
      </c>
      <c r="BQ19" s="35" t="str">
        <f t="shared" si="1"/>
        <v>FS_PF_Energie Alter</v>
      </c>
      <c r="BR19" s="35" t="str">
        <f t="shared" si="2"/>
        <v>IVECO</v>
      </c>
      <c r="BS19" s="35" t="str">
        <f t="shared" si="3"/>
        <v>S-WAY</v>
      </c>
      <c r="BT19" s="35" t="str">
        <f t="shared" si="4"/>
        <v>AD190S40 G CF - 18 Pal - SUPRA 1150 S MT</v>
      </c>
      <c r="BU19" s="35">
        <f t="shared" si="5"/>
        <v>0</v>
      </c>
      <c r="BV19" s="13" t="s">
        <v>273</v>
      </c>
      <c r="BW19" s="5" t="s">
        <v>65</v>
      </c>
      <c r="BX19" s="35" t="str">
        <f t="shared" si="6"/>
        <v>H02</v>
      </c>
      <c r="BY19" s="44" t="str">
        <f t="shared" si="7"/>
        <v>FRFS_PF_Energie AlterAD190S40 G CF - 18 Pal - SUPRA 1150 S MTH02</v>
      </c>
      <c r="BZ19" s="48"/>
      <c r="CA19" s="35">
        <v>19000</v>
      </c>
      <c r="CB19" s="35">
        <v>19000</v>
      </c>
      <c r="CC19" s="35" t="e">
        <f>VLOOKUP(BY19,#REF!,20,0)</f>
        <v>#REF!</v>
      </c>
      <c r="CD19" s="48"/>
      <c r="CE19" s="36"/>
      <c r="CF19" s="36"/>
      <c r="CG19" s="36"/>
    </row>
    <row r="20" spans="1:85" ht="20.100000000000001" customHeight="1" x14ac:dyDescent="0.25">
      <c r="A20" s="13" t="s">
        <v>78</v>
      </c>
      <c r="B20" s="5" t="s">
        <v>255</v>
      </c>
      <c r="C20" s="5" t="s">
        <v>256</v>
      </c>
      <c r="D20" s="1"/>
      <c r="E20" s="13" t="s">
        <v>34</v>
      </c>
      <c r="F20" s="13" t="s">
        <v>227</v>
      </c>
      <c r="G20" s="1" t="s">
        <v>43</v>
      </c>
      <c r="H20" s="13" t="s">
        <v>29</v>
      </c>
      <c r="I20" s="13" t="s">
        <v>7</v>
      </c>
      <c r="J20" s="4"/>
      <c r="K20" s="5" t="s">
        <v>30</v>
      </c>
      <c r="L20" s="5"/>
      <c r="M20" s="13" t="s">
        <v>274</v>
      </c>
      <c r="N20" s="6" t="s">
        <v>64</v>
      </c>
      <c r="O20" s="37">
        <v>7692</v>
      </c>
      <c r="P20" s="37">
        <v>2454</v>
      </c>
      <c r="Q20" s="37">
        <v>2400</v>
      </c>
      <c r="R20" s="13"/>
      <c r="S20" s="13">
        <v>3830</v>
      </c>
      <c r="T20" s="13">
        <v>2600</v>
      </c>
      <c r="U20" s="13">
        <v>9897</v>
      </c>
      <c r="V20" s="13">
        <v>1265</v>
      </c>
      <c r="W20" s="13">
        <v>5670</v>
      </c>
      <c r="X20" s="13">
        <v>2865</v>
      </c>
      <c r="Y20" s="13"/>
      <c r="Z20" s="9">
        <v>18</v>
      </c>
      <c r="AA20" s="13" t="s">
        <v>336</v>
      </c>
      <c r="AB20" s="13">
        <v>19000</v>
      </c>
      <c r="AC20" s="17"/>
      <c r="AD20" s="14"/>
      <c r="AE20" s="14"/>
      <c r="AF20" s="14"/>
      <c r="AG20" s="14"/>
      <c r="AH20" s="13" t="s">
        <v>170</v>
      </c>
      <c r="AI20" s="13" t="s">
        <v>233</v>
      </c>
      <c r="AJ20" s="37" t="s">
        <v>254</v>
      </c>
      <c r="AK20" s="13" t="s">
        <v>238</v>
      </c>
      <c r="AL20" s="13" t="s">
        <v>161</v>
      </c>
      <c r="AM20" s="13" t="s">
        <v>249</v>
      </c>
      <c r="AN20" s="13" t="s">
        <v>214</v>
      </c>
      <c r="AO20" s="32" t="s">
        <v>228</v>
      </c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20" t="e">
        <f>IF(CONCATENATE(A20,B20,C20,D20,E20,F20,G20,H20,I20,J20,K20,L20,M20,N20,O20,P20,Q20,R20,S20,T20,U20,V20,W20,X20,Y20,Z20,AA20,AB20,AC20,AD20,AE20,AF20,AG20,AH20,AI20,AJ20,AK20,AL20,AM20,AN20,AO20,AP20,AQ20,AR20,AS20,AT20,AU20,AV20,AW20,AX20,AY20,AZ20,BA20,BB20,BC20,BD20,BE20,BF20,BG20,BH20,BI20,BJ20,BK20)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0" s="39" t="s">
        <v>252</v>
      </c>
      <c r="BN20" s="13" t="s">
        <v>143</v>
      </c>
      <c r="BO20" s="48"/>
      <c r="BP20" s="35" t="str">
        <f t="shared" si="0"/>
        <v>FR</v>
      </c>
      <c r="BQ20" s="35" t="str">
        <f t="shared" si="1"/>
        <v>FS_PF_Energie Alter</v>
      </c>
      <c r="BR20" s="35" t="str">
        <f t="shared" si="2"/>
        <v>IVECO</v>
      </c>
      <c r="BS20" s="35" t="str">
        <f t="shared" si="3"/>
        <v>S-WAY</v>
      </c>
      <c r="BT20" s="35" t="str">
        <f t="shared" si="4"/>
        <v>AD190S40 G CF - 18 Pal - SUPRA GAZ</v>
      </c>
      <c r="BU20" s="35">
        <f t="shared" si="5"/>
        <v>0</v>
      </c>
      <c r="BV20" s="13" t="s">
        <v>274</v>
      </c>
      <c r="BW20" s="6" t="s">
        <v>64</v>
      </c>
      <c r="BX20" s="35" t="str">
        <f t="shared" si="6"/>
        <v>H01</v>
      </c>
      <c r="BY20" s="44" t="str">
        <f t="shared" si="7"/>
        <v>FRFS_PF_Energie AlterAD190S40 G CF - 18 Pal - SUPRA GAZH01</v>
      </c>
      <c r="BZ20" s="48"/>
      <c r="CA20" s="35">
        <v>19000</v>
      </c>
      <c r="CB20" s="35">
        <v>19000</v>
      </c>
      <c r="CC20" s="35" t="e">
        <f>VLOOKUP(BY20,#REF!,20,0)</f>
        <v>#REF!</v>
      </c>
      <c r="CD20" s="48"/>
      <c r="CE20" s="36"/>
      <c r="CF20" s="36"/>
      <c r="CG20" s="36"/>
    </row>
    <row r="21" spans="1:85" ht="20.100000000000001" customHeight="1" x14ac:dyDescent="0.25">
      <c r="A21" s="13" t="s">
        <v>78</v>
      </c>
      <c r="B21" s="5" t="s">
        <v>255</v>
      </c>
      <c r="C21" s="5" t="s">
        <v>256</v>
      </c>
      <c r="D21" s="1"/>
      <c r="E21" s="13" t="s">
        <v>34</v>
      </c>
      <c r="F21" s="13" t="s">
        <v>227</v>
      </c>
      <c r="G21" s="1" t="s">
        <v>43</v>
      </c>
      <c r="H21" s="13" t="s">
        <v>12</v>
      </c>
      <c r="I21" s="13" t="s">
        <v>7</v>
      </c>
      <c r="J21" s="4"/>
      <c r="K21" s="5" t="s">
        <v>30</v>
      </c>
      <c r="L21" s="5"/>
      <c r="M21" s="13" t="s">
        <v>275</v>
      </c>
      <c r="N21" s="5" t="s">
        <v>65</v>
      </c>
      <c r="O21" s="37">
        <v>7692</v>
      </c>
      <c r="P21" s="37">
        <v>2454</v>
      </c>
      <c r="Q21" s="37">
        <v>2400</v>
      </c>
      <c r="R21" s="13"/>
      <c r="S21" s="13">
        <v>3830</v>
      </c>
      <c r="T21" s="13">
        <v>2600</v>
      </c>
      <c r="U21" s="13">
        <v>9897</v>
      </c>
      <c r="V21" s="13">
        <v>1265</v>
      </c>
      <c r="W21" s="13">
        <v>5670</v>
      </c>
      <c r="X21" s="13">
        <v>2865</v>
      </c>
      <c r="Y21" s="13"/>
      <c r="Z21" s="9">
        <v>18</v>
      </c>
      <c r="AA21" s="13" t="s">
        <v>320</v>
      </c>
      <c r="AB21" s="13">
        <v>19000</v>
      </c>
      <c r="AC21" s="17"/>
      <c r="AD21" s="14"/>
      <c r="AE21" s="14"/>
      <c r="AF21" s="14"/>
      <c r="AG21" s="14"/>
      <c r="AH21" s="13" t="s">
        <v>170</v>
      </c>
      <c r="AI21" s="13" t="s">
        <v>233</v>
      </c>
      <c r="AJ21" s="37" t="s">
        <v>254</v>
      </c>
      <c r="AK21" s="13" t="s">
        <v>238</v>
      </c>
      <c r="AL21" s="13" t="s">
        <v>162</v>
      </c>
      <c r="AM21" s="13" t="s">
        <v>248</v>
      </c>
      <c r="AN21" s="13" t="s">
        <v>214</v>
      </c>
      <c r="AO21" s="32" t="s">
        <v>237</v>
      </c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20" t="e">
        <f>IF(CONCATENATE(A21,B21,C21,D21,E21,F21,G21,H21,I21,J21,K21,L21,M21,N21,O21,P21,Q21,R21,S21,T21,U21,V21,W21,X21,Y21,Z21,AA21,AB21,AC21,AD21,AE21,AF21,AG21,AH21,AI21,AJ21,AK21,AL21,AM21,AN21,AO21,AP21,AQ21,AR21,AS21,AT21,AU21,AV21,AW21,AX21,AY21,AZ21,BA21,BB21,BC21,BD21,BE21,BF21,BG21,BH21,BI21,BJ21,BK21)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1" s="39" t="s">
        <v>252</v>
      </c>
      <c r="BN21" s="13" t="s">
        <v>147</v>
      </c>
      <c r="BO21" s="48"/>
      <c r="BP21" s="35" t="str">
        <f t="shared" si="0"/>
        <v>FR</v>
      </c>
      <c r="BQ21" s="35" t="str">
        <f t="shared" si="1"/>
        <v>FS_PF_Energie Alter</v>
      </c>
      <c r="BR21" s="35" t="str">
        <f t="shared" si="2"/>
        <v>IVECO</v>
      </c>
      <c r="BS21" s="35" t="str">
        <f t="shared" si="3"/>
        <v>S-WAY</v>
      </c>
      <c r="BT21" s="35" t="str">
        <f t="shared" si="4"/>
        <v>AD190S40 G CF - 18 Pal - SUPRA GAZ MT</v>
      </c>
      <c r="BU21" s="35">
        <f t="shared" si="5"/>
        <v>0</v>
      </c>
      <c r="BV21" s="13" t="s">
        <v>275</v>
      </c>
      <c r="BW21" s="5" t="s">
        <v>65</v>
      </c>
      <c r="BX21" s="35" t="str">
        <f t="shared" si="6"/>
        <v>H02</v>
      </c>
      <c r="BY21" s="44" t="str">
        <f t="shared" si="7"/>
        <v>FRFS_PF_Energie AlterAD190S40 G CF - 18 Pal - SUPRA GAZ MTH02</v>
      </c>
      <c r="BZ21" s="48"/>
      <c r="CA21" s="35">
        <v>19000</v>
      </c>
      <c r="CB21" s="35">
        <v>19000</v>
      </c>
      <c r="CC21" s="35" t="e">
        <f>VLOOKUP(BY21,#REF!,20,0)</f>
        <v>#REF!</v>
      </c>
      <c r="CD21" s="48"/>
      <c r="CE21" s="36"/>
      <c r="CF21" s="36"/>
      <c r="CG21" s="36"/>
    </row>
    <row r="22" spans="1:85" ht="20.100000000000001" customHeight="1" x14ac:dyDescent="0.25">
      <c r="A22" s="13" t="s">
        <v>78</v>
      </c>
      <c r="B22" s="5" t="s">
        <v>255</v>
      </c>
      <c r="C22" s="5" t="s">
        <v>256</v>
      </c>
      <c r="D22" s="1"/>
      <c r="E22" s="13" t="s">
        <v>34</v>
      </c>
      <c r="F22" s="13" t="s">
        <v>227</v>
      </c>
      <c r="G22" s="1" t="s">
        <v>43</v>
      </c>
      <c r="H22" s="13" t="s">
        <v>29</v>
      </c>
      <c r="I22" s="13" t="s">
        <v>7</v>
      </c>
      <c r="J22" s="4"/>
      <c r="K22" s="5" t="s">
        <v>30</v>
      </c>
      <c r="L22" s="5"/>
      <c r="M22" s="13" t="s">
        <v>288</v>
      </c>
      <c r="N22" s="6" t="s">
        <v>64</v>
      </c>
      <c r="O22" s="37">
        <v>7692</v>
      </c>
      <c r="P22" s="37">
        <v>2454</v>
      </c>
      <c r="Q22" s="37">
        <v>2400</v>
      </c>
      <c r="R22" s="13"/>
      <c r="S22" s="13">
        <v>3830</v>
      </c>
      <c r="T22" s="13">
        <v>2600</v>
      </c>
      <c r="U22" s="13">
        <v>9897</v>
      </c>
      <c r="V22" s="13">
        <v>1265</v>
      </c>
      <c r="W22" s="13">
        <v>5670</v>
      </c>
      <c r="X22" s="13">
        <v>2865</v>
      </c>
      <c r="Y22" s="13"/>
      <c r="Z22" s="9">
        <v>18</v>
      </c>
      <c r="AA22" s="13" t="s">
        <v>346</v>
      </c>
      <c r="AB22" s="13">
        <v>19000</v>
      </c>
      <c r="AC22" s="17"/>
      <c r="AD22" s="14"/>
      <c r="AE22" s="14"/>
      <c r="AF22" s="14"/>
      <c r="AG22" s="14"/>
      <c r="AH22" s="13" t="s">
        <v>170</v>
      </c>
      <c r="AI22" s="13" t="s">
        <v>233</v>
      </c>
      <c r="AJ22" s="37" t="s">
        <v>254</v>
      </c>
      <c r="AK22" s="13" t="s">
        <v>238</v>
      </c>
      <c r="AL22" s="13" t="s">
        <v>161</v>
      </c>
      <c r="AM22" s="13" t="s">
        <v>354</v>
      </c>
      <c r="AN22" s="13" t="s">
        <v>214</v>
      </c>
      <c r="AO22" s="32" t="s">
        <v>228</v>
      </c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20" t="e">
        <f>IF(CONCATENATE(A22,B22,C22,D22,E22,F22,G22,H22,I22,J22,K22,L22,M22,N22,O22,P22,Q22,R22,S22,T22,U22,V22,W22,X22,Y22,Z22,AA22,AB22,AC22,AD22,AE22,AF22,AG22,AH22,AI22,AJ22,AK22,AL22,AM22,AN22,AO22,AP22,AQ22,AR22,AS22,AT22,AU22,AV22,AW22,AX22,AY22,AZ22,BA22,BB22,BC22,BD22,BE22,BF22,BG22,BH22,BI22,BJ22,BK22)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2" s="39" t="s">
        <v>252</v>
      </c>
      <c r="BN22" s="13" t="s">
        <v>143</v>
      </c>
      <c r="BO22" s="48"/>
      <c r="BP22" s="35" t="str">
        <f t="shared" si="0"/>
        <v>FR</v>
      </c>
      <c r="BQ22" s="35" t="str">
        <f t="shared" si="1"/>
        <v>FS_PF_Energie Alter</v>
      </c>
      <c r="BR22" s="35" t="str">
        <f t="shared" si="2"/>
        <v>IVECO</v>
      </c>
      <c r="BS22" s="35" t="str">
        <f t="shared" si="3"/>
        <v>S-WAY</v>
      </c>
      <c r="BT22" s="35" t="str">
        <f t="shared" si="4"/>
        <v>AD190S40 G CF - 18 Pal - CARRIER SYBERIA</v>
      </c>
      <c r="BU22" s="35">
        <f t="shared" si="5"/>
        <v>0</v>
      </c>
      <c r="BV22" s="13" t="s">
        <v>288</v>
      </c>
      <c r="BW22" s="6" t="s">
        <v>64</v>
      </c>
      <c r="BX22" s="35" t="str">
        <f t="shared" si="6"/>
        <v>H01</v>
      </c>
      <c r="BY22" s="44" t="str">
        <f t="shared" si="7"/>
        <v>FRFS_PF_Energie AlterAD190S40 G CF - 18 Pal - CARRIER SYBERIAH01</v>
      </c>
      <c r="BZ22" s="48"/>
      <c r="CA22" s="35">
        <v>19000</v>
      </c>
      <c r="CB22" s="35">
        <v>19000</v>
      </c>
      <c r="CC22" s="35" t="e">
        <f>VLOOKUP(BY22,#REF!,20,0)</f>
        <v>#REF!</v>
      </c>
      <c r="CD22" s="48"/>
      <c r="CE22" s="36"/>
      <c r="CF22" s="36"/>
      <c r="CG22" s="36"/>
    </row>
    <row r="23" spans="1:85" ht="20.100000000000001" customHeight="1" x14ac:dyDescent="0.25">
      <c r="A23" s="13" t="s">
        <v>78</v>
      </c>
      <c r="B23" s="5" t="s">
        <v>255</v>
      </c>
      <c r="C23" s="5" t="s">
        <v>256</v>
      </c>
      <c r="D23" s="1"/>
      <c r="E23" s="13" t="s">
        <v>34</v>
      </c>
      <c r="F23" s="13" t="s">
        <v>227</v>
      </c>
      <c r="G23" s="1" t="s">
        <v>43</v>
      </c>
      <c r="H23" s="13" t="s">
        <v>12</v>
      </c>
      <c r="I23" s="13" t="s">
        <v>7</v>
      </c>
      <c r="J23" s="4"/>
      <c r="K23" s="5" t="s">
        <v>30</v>
      </c>
      <c r="L23" s="5"/>
      <c r="M23" s="13" t="s">
        <v>289</v>
      </c>
      <c r="N23" s="5" t="s">
        <v>65</v>
      </c>
      <c r="O23" s="37">
        <v>7692</v>
      </c>
      <c r="P23" s="37">
        <v>2454</v>
      </c>
      <c r="Q23" s="37">
        <v>2400</v>
      </c>
      <c r="R23" s="13"/>
      <c r="S23" s="13">
        <v>3830</v>
      </c>
      <c r="T23" s="13">
        <v>2600</v>
      </c>
      <c r="U23" s="13">
        <v>9897</v>
      </c>
      <c r="V23" s="13">
        <v>1265</v>
      </c>
      <c r="W23" s="13">
        <v>5670</v>
      </c>
      <c r="X23" s="13">
        <v>2865</v>
      </c>
      <c r="Y23" s="13"/>
      <c r="Z23" s="9">
        <v>18</v>
      </c>
      <c r="AA23" s="13" t="s">
        <v>347</v>
      </c>
      <c r="AB23" s="13">
        <v>19000</v>
      </c>
      <c r="AC23" s="17"/>
      <c r="AD23" s="14"/>
      <c r="AE23" s="14"/>
      <c r="AF23" s="14"/>
      <c r="AG23" s="14"/>
      <c r="AH23" s="13" t="s">
        <v>170</v>
      </c>
      <c r="AI23" s="13" t="s">
        <v>233</v>
      </c>
      <c r="AJ23" s="37" t="s">
        <v>254</v>
      </c>
      <c r="AK23" s="13" t="s">
        <v>238</v>
      </c>
      <c r="AL23" s="13" t="s">
        <v>162</v>
      </c>
      <c r="AM23" s="13" t="s">
        <v>355</v>
      </c>
      <c r="AN23" s="13" t="s">
        <v>214</v>
      </c>
      <c r="AO23" s="32" t="s">
        <v>237</v>
      </c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20" t="e">
        <f>IF(CONCATENATE(A23,B23,C23,D23,E23,F23,G23,H23,I23,J23,K23,L23,M23,N23,O23,P23,Q23,R23,S23,T23,U23,V23,W23,X23,Y23,Z23,AA23,AB23,AC23,AD23,AE23,AF23,AG23,AH23,AI23,AJ23,AK23,AL23,AM23,AN23,AO23,AP23,AQ23,AR23,AS23,AT23,AU23,AV23,AW23,AX23,AY23,AZ23,BA23,BB23,BC23,BD23,BE23,BF23,BG23,BH23,BI23,BJ23,BK23)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3" s="39" t="s">
        <v>252</v>
      </c>
      <c r="BN23" s="13" t="s">
        <v>147</v>
      </c>
      <c r="BO23" s="48"/>
      <c r="BP23" s="35" t="str">
        <f t="shared" si="0"/>
        <v>FR</v>
      </c>
      <c r="BQ23" s="35" t="str">
        <f t="shared" si="1"/>
        <v>FS_PF_Energie Alter</v>
      </c>
      <c r="BR23" s="35" t="str">
        <f t="shared" si="2"/>
        <v>IVECO</v>
      </c>
      <c r="BS23" s="35" t="str">
        <f t="shared" si="3"/>
        <v>S-WAY</v>
      </c>
      <c r="BT23" s="35" t="str">
        <f t="shared" si="4"/>
        <v>AD190S40 G CF - 18 Pal - CARRIER SYBERIA MT</v>
      </c>
      <c r="BU23" s="35">
        <f t="shared" si="5"/>
        <v>0</v>
      </c>
      <c r="BV23" s="13" t="s">
        <v>289</v>
      </c>
      <c r="BW23" s="5" t="s">
        <v>65</v>
      </c>
      <c r="BX23" s="35" t="str">
        <f t="shared" si="6"/>
        <v>H02</v>
      </c>
      <c r="BY23" s="44" t="str">
        <f t="shared" si="7"/>
        <v>FRFS_PF_Energie AlterAD190S40 G CF - 18 Pal - CARRIER SYBERIA MTH02</v>
      </c>
      <c r="BZ23" s="48"/>
      <c r="CA23" s="35">
        <v>19000</v>
      </c>
      <c r="CB23" s="35">
        <v>19000</v>
      </c>
      <c r="CC23" s="35" t="e">
        <f>VLOOKUP(BY23,#REF!,20,0)</f>
        <v>#REF!</v>
      </c>
      <c r="CD23" s="48"/>
      <c r="CE23" s="36"/>
      <c r="CF23" s="36"/>
      <c r="CG23" s="36"/>
    </row>
    <row r="24" spans="1:85" ht="20.100000000000001" customHeight="1" x14ac:dyDescent="0.25">
      <c r="A24" s="13" t="s">
        <v>78</v>
      </c>
      <c r="B24" s="5" t="s">
        <v>255</v>
      </c>
      <c r="C24" s="5" t="s">
        <v>256</v>
      </c>
      <c r="D24" s="1"/>
      <c r="E24" s="13" t="s">
        <v>34</v>
      </c>
      <c r="F24" s="13" t="s">
        <v>227</v>
      </c>
      <c r="G24" s="1" t="s">
        <v>43</v>
      </c>
      <c r="H24" s="13" t="s">
        <v>29</v>
      </c>
      <c r="I24" s="13" t="s">
        <v>7</v>
      </c>
      <c r="J24" s="4"/>
      <c r="K24" s="5" t="s">
        <v>30</v>
      </c>
      <c r="L24" s="5"/>
      <c r="M24" s="13" t="s">
        <v>276</v>
      </c>
      <c r="N24" s="6" t="s">
        <v>64</v>
      </c>
      <c r="O24" s="37">
        <v>7692</v>
      </c>
      <c r="P24" s="37">
        <v>2454</v>
      </c>
      <c r="Q24" s="37">
        <v>2400</v>
      </c>
      <c r="R24" s="13"/>
      <c r="S24" s="13">
        <v>3830</v>
      </c>
      <c r="T24" s="13">
        <v>2600</v>
      </c>
      <c r="U24" s="13">
        <v>9897</v>
      </c>
      <c r="V24" s="13">
        <v>1265</v>
      </c>
      <c r="W24" s="13">
        <v>5670</v>
      </c>
      <c r="X24" s="13">
        <v>2865</v>
      </c>
      <c r="Y24" s="13"/>
      <c r="Z24" s="9">
        <v>18</v>
      </c>
      <c r="AA24" s="13" t="s">
        <v>337</v>
      </c>
      <c r="AB24" s="13">
        <v>19000</v>
      </c>
      <c r="AC24" s="17"/>
      <c r="AD24" s="14"/>
      <c r="AE24" s="14"/>
      <c r="AF24" s="14"/>
      <c r="AG24" s="14"/>
      <c r="AH24" s="13" t="s">
        <v>170</v>
      </c>
      <c r="AI24" s="13" t="s">
        <v>233</v>
      </c>
      <c r="AJ24" s="37" t="s">
        <v>254</v>
      </c>
      <c r="AK24" s="13" t="s">
        <v>238</v>
      </c>
      <c r="AL24" s="13" t="s">
        <v>161</v>
      </c>
      <c r="AM24" s="13" t="s">
        <v>250</v>
      </c>
      <c r="AN24" s="13" t="s">
        <v>214</v>
      </c>
      <c r="AO24" s="32" t="s">
        <v>228</v>
      </c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20" t="e">
        <f>IF(CONCATENATE(A24,B24,C24,D24,E24,F24,G24,H24,I24,J24,K24,L24,M24,N24,O24,P24,Q24,R24,S24,T24,U24,V24,W24,X24,Y24,Z24,AA24,AB24,AC24,AD24,AE24,AF24,AG24,AH24,AI24,AJ24,AK24,AL24,AM24,AN24,AO24,AP24,AQ24,AR24,AS24,AT24,AU24,AV24,AW24,AX24,AY24,AZ24,BA24,BB24,BC24,BD24,BE24,BF24,BG24,BH24,BI24,BJ24,BK24)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4" s="39" t="s">
        <v>252</v>
      </c>
      <c r="BN24" s="13" t="s">
        <v>143</v>
      </c>
      <c r="BO24" s="48"/>
      <c r="BP24" s="35" t="str">
        <f t="shared" si="0"/>
        <v>FR</v>
      </c>
      <c r="BQ24" s="35" t="str">
        <f t="shared" si="1"/>
        <v>FS_PF_Energie Alter</v>
      </c>
      <c r="BR24" s="35" t="str">
        <f t="shared" si="2"/>
        <v>IVECO</v>
      </c>
      <c r="BS24" s="35" t="str">
        <f t="shared" si="3"/>
        <v>S-WAY</v>
      </c>
      <c r="BT24" s="35" t="str">
        <f t="shared" si="4"/>
        <v>AD190S40 G CF - 18 Pal - FK 25</v>
      </c>
      <c r="BU24" s="35">
        <f t="shared" si="5"/>
        <v>0</v>
      </c>
      <c r="BV24" s="13" t="s">
        <v>276</v>
      </c>
      <c r="BW24" s="6" t="s">
        <v>64</v>
      </c>
      <c r="BX24" s="35" t="str">
        <f t="shared" si="6"/>
        <v>H01</v>
      </c>
      <c r="BY24" s="44" t="str">
        <f t="shared" si="7"/>
        <v>FRFS_PF_Energie AlterAD190S40 G CF - 18 Pal - FK 25H01</v>
      </c>
      <c r="BZ24" s="48"/>
      <c r="CA24" s="35">
        <v>19000</v>
      </c>
      <c r="CB24" s="35">
        <v>19000</v>
      </c>
      <c r="CC24" s="35" t="e">
        <f>VLOOKUP(BY24,#REF!,20,0)</f>
        <v>#REF!</v>
      </c>
      <c r="CD24" s="48"/>
      <c r="CE24" s="36"/>
      <c r="CF24" s="36"/>
      <c r="CG24" s="36"/>
    </row>
    <row r="25" spans="1:85" ht="20.100000000000001" customHeight="1" x14ac:dyDescent="0.25">
      <c r="A25" s="13" t="s">
        <v>78</v>
      </c>
      <c r="B25" s="5" t="s">
        <v>255</v>
      </c>
      <c r="C25" s="5" t="s">
        <v>256</v>
      </c>
      <c r="D25" s="1"/>
      <c r="E25" s="13" t="s">
        <v>34</v>
      </c>
      <c r="F25" s="13" t="s">
        <v>227</v>
      </c>
      <c r="G25" s="1" t="s">
        <v>43</v>
      </c>
      <c r="H25" s="13" t="s">
        <v>12</v>
      </c>
      <c r="I25" s="13" t="s">
        <v>7</v>
      </c>
      <c r="J25" s="4"/>
      <c r="K25" s="5" t="s">
        <v>30</v>
      </c>
      <c r="L25" s="5"/>
      <c r="M25" s="13" t="s">
        <v>277</v>
      </c>
      <c r="N25" s="5" t="s">
        <v>65</v>
      </c>
      <c r="O25" s="37">
        <v>7692</v>
      </c>
      <c r="P25" s="37">
        <v>2454</v>
      </c>
      <c r="Q25" s="37">
        <v>2400</v>
      </c>
      <c r="R25" s="13"/>
      <c r="S25" s="13">
        <v>3830</v>
      </c>
      <c r="T25" s="13">
        <v>2600</v>
      </c>
      <c r="U25" s="13">
        <v>9897</v>
      </c>
      <c r="V25" s="13">
        <v>1265</v>
      </c>
      <c r="W25" s="13">
        <v>5670</v>
      </c>
      <c r="X25" s="13">
        <v>2865</v>
      </c>
      <c r="Y25" s="13"/>
      <c r="Z25" s="9">
        <v>18</v>
      </c>
      <c r="AA25" s="13" t="s">
        <v>321</v>
      </c>
      <c r="AB25" s="13">
        <v>19000</v>
      </c>
      <c r="AC25" s="17"/>
      <c r="AD25" s="14"/>
      <c r="AE25" s="14"/>
      <c r="AF25" s="14"/>
      <c r="AG25" s="14"/>
      <c r="AH25" s="13" t="s">
        <v>170</v>
      </c>
      <c r="AI25" s="13" t="s">
        <v>233</v>
      </c>
      <c r="AJ25" s="37" t="s">
        <v>254</v>
      </c>
      <c r="AK25" s="13" t="s">
        <v>238</v>
      </c>
      <c r="AL25" s="13" t="s">
        <v>162</v>
      </c>
      <c r="AM25" s="13" t="s">
        <v>251</v>
      </c>
      <c r="AN25" s="13" t="s">
        <v>214</v>
      </c>
      <c r="AO25" s="32" t="s">
        <v>237</v>
      </c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20" t="e">
        <f>IF(CONCATENATE(A25,B25,C25,D25,E25,F25,G25,H25,I25,J25,K25,L25,M25,N25,O25,P25,Q25,R25,S25,T25,U25,V25,W25,X25,Y25,Z25,AA25,AB25,AC25,AD25,AE25,AF25,AG25,AH25,AI25,AJ25,AK25,AL25,AM25,AN25,AO25,AP25,AQ25,AR25,AS25,AT25,AU25,AV25,AW25,AX25,AY25,AZ25,BA25,BB25,BC25,BD25,BE25,BF25,BG25,BH25,BI25,BJ25,BK25)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5" s="39" t="s">
        <v>252</v>
      </c>
      <c r="BN25" s="13" t="s">
        <v>147</v>
      </c>
      <c r="BO25" s="48"/>
      <c r="BP25" s="35" t="str">
        <f t="shared" si="0"/>
        <v>FR</v>
      </c>
      <c r="BQ25" s="35" t="str">
        <f t="shared" si="1"/>
        <v>FS_PF_Energie Alter</v>
      </c>
      <c r="BR25" s="35" t="str">
        <f t="shared" si="2"/>
        <v>IVECO</v>
      </c>
      <c r="BS25" s="35" t="str">
        <f t="shared" si="3"/>
        <v>S-WAY</v>
      </c>
      <c r="BT25" s="35" t="str">
        <f t="shared" si="4"/>
        <v>AD190S40 G CF - 18 Pal - FK 25I MT</v>
      </c>
      <c r="BU25" s="35">
        <f t="shared" si="5"/>
        <v>0</v>
      </c>
      <c r="BV25" s="13" t="s">
        <v>277</v>
      </c>
      <c r="BW25" s="5" t="s">
        <v>65</v>
      </c>
      <c r="BX25" s="35" t="str">
        <f t="shared" si="6"/>
        <v>H02</v>
      </c>
      <c r="BY25" s="44" t="str">
        <f t="shared" si="7"/>
        <v>FRFS_PF_Energie AlterAD190S40 G CF - 18 Pal - FK 25I MTH02</v>
      </c>
      <c r="BZ25" s="48"/>
      <c r="CA25" s="35">
        <v>19000</v>
      </c>
      <c r="CB25" s="35">
        <v>19000</v>
      </c>
      <c r="CC25" s="35" t="e">
        <f>VLOOKUP(BY25,#REF!,20,0)</f>
        <v>#REF!</v>
      </c>
      <c r="CD25" s="48"/>
      <c r="CE25" s="36"/>
      <c r="CF25" s="36"/>
      <c r="CG25" s="36"/>
    </row>
    <row r="26" spans="1:85" ht="20.100000000000001" customHeight="1" x14ac:dyDescent="0.25">
      <c r="A26" s="13" t="s">
        <v>78</v>
      </c>
      <c r="B26" s="5" t="s">
        <v>255</v>
      </c>
      <c r="C26" s="5" t="s">
        <v>256</v>
      </c>
      <c r="D26" s="1"/>
      <c r="E26" s="13" t="s">
        <v>34</v>
      </c>
      <c r="F26" s="13" t="s">
        <v>227</v>
      </c>
      <c r="G26" s="1" t="s">
        <v>44</v>
      </c>
      <c r="H26" s="13" t="s">
        <v>29</v>
      </c>
      <c r="I26" s="13" t="s">
        <v>7</v>
      </c>
      <c r="J26" s="4"/>
      <c r="K26" s="5" t="s">
        <v>30</v>
      </c>
      <c r="L26" s="5"/>
      <c r="M26" s="13" t="s">
        <v>278</v>
      </c>
      <c r="N26" s="6" t="s">
        <v>64</v>
      </c>
      <c r="O26" s="37">
        <v>8892</v>
      </c>
      <c r="P26" s="37">
        <v>2454</v>
      </c>
      <c r="Q26" s="37">
        <v>2400</v>
      </c>
      <c r="R26" s="13"/>
      <c r="S26" s="13">
        <v>3845</v>
      </c>
      <c r="T26" s="13">
        <v>2600</v>
      </c>
      <c r="U26" s="13">
        <v>11362</v>
      </c>
      <c r="V26" s="13">
        <v>1330</v>
      </c>
      <c r="W26" s="13">
        <v>6271</v>
      </c>
      <c r="X26" s="13">
        <v>3681</v>
      </c>
      <c r="Y26" s="13"/>
      <c r="Z26" s="1">
        <v>21</v>
      </c>
      <c r="AA26" s="13" t="s">
        <v>338</v>
      </c>
      <c r="AB26" s="13">
        <v>19000</v>
      </c>
      <c r="AC26" s="17"/>
      <c r="AD26" s="14"/>
      <c r="AE26" s="14"/>
      <c r="AF26" s="14"/>
      <c r="AG26" s="14"/>
      <c r="AH26" s="13" t="s">
        <v>170</v>
      </c>
      <c r="AI26" s="13" t="s">
        <v>233</v>
      </c>
      <c r="AJ26" s="37" t="s">
        <v>254</v>
      </c>
      <c r="AK26" s="13" t="s">
        <v>238</v>
      </c>
      <c r="AL26" s="13" t="s">
        <v>161</v>
      </c>
      <c r="AM26" s="13" t="s">
        <v>249</v>
      </c>
      <c r="AN26" s="13" t="s">
        <v>214</v>
      </c>
      <c r="AO26" s="32" t="s">
        <v>228</v>
      </c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20" t="e">
        <f>IF(CONCATENATE(A26,B26,C26,D26,E26,F26,G26,H26,I26,J26,K26,L26,M26,N26,O26,P26,Q26,R26,S26,T26,U26,V26,W26,X26,Y26,Z26,AA26,AB26,AC26,AD26,AE26,AF26,AG26,AH26,AI26,AJ26,AK26,AL26,AM26,AN26,AO26,AP26,AQ26,AR26,AS26,AT26,AU26,AV26,AW26,AX26,AY26,AZ26,BA26,BB26,BC26,BD26,BE26,BF26,BG26,BH26,BI26,BJ26,BK26)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6" s="39" t="s">
        <v>252</v>
      </c>
      <c r="BN26" s="13" t="s">
        <v>143</v>
      </c>
      <c r="BO26" s="48"/>
      <c r="BP26" s="35" t="str">
        <f t="shared" si="0"/>
        <v>FR</v>
      </c>
      <c r="BQ26" s="35" t="str">
        <f t="shared" si="1"/>
        <v>FS_PF_Energie Alter</v>
      </c>
      <c r="BR26" s="35" t="str">
        <f t="shared" si="2"/>
        <v>IVECO</v>
      </c>
      <c r="BS26" s="35" t="str">
        <f t="shared" si="3"/>
        <v>S-WAY</v>
      </c>
      <c r="BT26" s="35" t="str">
        <f t="shared" si="4"/>
        <v>AD190S40 G CF - SUPRA GAZ</v>
      </c>
      <c r="BU26" s="35">
        <f t="shared" si="5"/>
        <v>0</v>
      </c>
      <c r="BV26" s="13" t="s">
        <v>278</v>
      </c>
      <c r="BW26" s="6" t="s">
        <v>64</v>
      </c>
      <c r="BX26" s="35" t="str">
        <f t="shared" si="6"/>
        <v>H01</v>
      </c>
      <c r="BY26" s="44" t="str">
        <f t="shared" si="7"/>
        <v>FRFS_PF_Energie AlterAD190S40 G CF - SUPRA GAZH01</v>
      </c>
      <c r="BZ26" s="48"/>
      <c r="CA26" s="35">
        <v>19000</v>
      </c>
      <c r="CB26" s="35">
        <v>19000</v>
      </c>
      <c r="CC26" s="35" t="e">
        <f>VLOOKUP(BY26,#REF!,20,0)</f>
        <v>#REF!</v>
      </c>
      <c r="CD26" s="48"/>
      <c r="CE26" s="36"/>
      <c r="CF26" s="36"/>
      <c r="CG26" s="36"/>
    </row>
    <row r="27" spans="1:85" ht="20.100000000000001" customHeight="1" x14ac:dyDescent="0.25">
      <c r="A27" s="13" t="s">
        <v>78</v>
      </c>
      <c r="B27" s="5" t="s">
        <v>255</v>
      </c>
      <c r="C27" s="5" t="s">
        <v>256</v>
      </c>
      <c r="D27" s="1"/>
      <c r="E27" s="13" t="s">
        <v>34</v>
      </c>
      <c r="F27" s="13" t="s">
        <v>227</v>
      </c>
      <c r="G27" s="1" t="s">
        <v>44</v>
      </c>
      <c r="H27" s="13" t="s">
        <v>12</v>
      </c>
      <c r="I27" s="13" t="s">
        <v>7</v>
      </c>
      <c r="J27" s="4"/>
      <c r="K27" s="5" t="s">
        <v>30</v>
      </c>
      <c r="L27" s="5"/>
      <c r="M27" s="13" t="s">
        <v>279</v>
      </c>
      <c r="N27" s="5" t="s">
        <v>65</v>
      </c>
      <c r="O27" s="37">
        <v>8892</v>
      </c>
      <c r="P27" s="37">
        <v>2454</v>
      </c>
      <c r="Q27" s="37">
        <v>2400</v>
      </c>
      <c r="R27" s="13"/>
      <c r="S27" s="13">
        <v>3845</v>
      </c>
      <c r="T27" s="13">
        <v>2600</v>
      </c>
      <c r="U27" s="13">
        <v>11362</v>
      </c>
      <c r="V27" s="13">
        <v>1330</v>
      </c>
      <c r="W27" s="13">
        <v>6271</v>
      </c>
      <c r="X27" s="13">
        <v>3681</v>
      </c>
      <c r="Y27" s="13"/>
      <c r="Z27" s="1">
        <v>21</v>
      </c>
      <c r="AA27" s="13" t="s">
        <v>322</v>
      </c>
      <c r="AB27" s="13">
        <v>19000</v>
      </c>
      <c r="AC27" s="17"/>
      <c r="AD27" s="14"/>
      <c r="AE27" s="14"/>
      <c r="AF27" s="14"/>
      <c r="AG27" s="14"/>
      <c r="AH27" s="13" t="s">
        <v>170</v>
      </c>
      <c r="AI27" s="13" t="s">
        <v>233</v>
      </c>
      <c r="AJ27" s="37" t="s">
        <v>254</v>
      </c>
      <c r="AK27" s="13" t="s">
        <v>238</v>
      </c>
      <c r="AL27" s="13" t="s">
        <v>162</v>
      </c>
      <c r="AM27" s="13" t="s">
        <v>248</v>
      </c>
      <c r="AN27" s="13" t="s">
        <v>214</v>
      </c>
      <c r="AO27" s="32" t="s">
        <v>237</v>
      </c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20" t="e">
        <f>IF(CONCATENATE(A27,B27,C27,D27,E27,F27,G27,H27,I27,J27,K27,L27,M27,N27,O27,P27,Q27,R27,S27,T27,U27,V27,W27,X27,Y27,Z27,AA27,AB27,AC27,AD27,AE27,AF27,AG27,AH27,AI27,AJ27,AK27,AL27,AM27,AN27,AO27,AP27,AQ27,AR27,AS27,AT27,AU27,AV27,AW27,AX27,AY27,AZ27,BA27,BB27,BC27,BD27,BE27,BF27,BG27,BH27,BI27,BJ27,BK27)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7" s="39" t="s">
        <v>252</v>
      </c>
      <c r="BN27" s="13" t="s">
        <v>147</v>
      </c>
      <c r="BO27" s="48"/>
      <c r="BP27" s="35" t="str">
        <f t="shared" si="0"/>
        <v>FR</v>
      </c>
      <c r="BQ27" s="35" t="str">
        <f t="shared" si="1"/>
        <v>FS_PF_Energie Alter</v>
      </c>
      <c r="BR27" s="35" t="str">
        <f t="shared" si="2"/>
        <v>IVECO</v>
      </c>
      <c r="BS27" s="35" t="str">
        <f t="shared" si="3"/>
        <v>S-WAY</v>
      </c>
      <c r="BT27" s="35" t="str">
        <f t="shared" si="4"/>
        <v>AD190S40 G CF - SUPRA GAZ MT</v>
      </c>
      <c r="BU27" s="35">
        <f t="shared" si="5"/>
        <v>0</v>
      </c>
      <c r="BV27" s="13" t="s">
        <v>279</v>
      </c>
      <c r="BW27" s="5" t="s">
        <v>65</v>
      </c>
      <c r="BX27" s="35" t="str">
        <f t="shared" si="6"/>
        <v>H02</v>
      </c>
      <c r="BY27" s="44" t="str">
        <f t="shared" si="7"/>
        <v>FRFS_PF_Energie AlterAD190S40 G CF - SUPRA GAZ MTH02</v>
      </c>
      <c r="BZ27" s="48"/>
      <c r="CA27" s="35">
        <v>19000</v>
      </c>
      <c r="CB27" s="35">
        <v>19000</v>
      </c>
      <c r="CC27" s="35" t="e">
        <f>VLOOKUP(BY27,#REF!,20,0)</f>
        <v>#REF!</v>
      </c>
      <c r="CD27" s="48"/>
      <c r="CE27" s="36"/>
      <c r="CF27" s="36"/>
      <c r="CG27" s="36"/>
    </row>
    <row r="28" spans="1:85" ht="20.100000000000001" customHeight="1" x14ac:dyDescent="0.25">
      <c r="A28" s="13" t="s">
        <v>78</v>
      </c>
      <c r="B28" s="5" t="s">
        <v>255</v>
      </c>
      <c r="C28" s="5" t="s">
        <v>256</v>
      </c>
      <c r="D28" s="1"/>
      <c r="E28" s="13" t="s">
        <v>34</v>
      </c>
      <c r="F28" s="13" t="s">
        <v>227</v>
      </c>
      <c r="G28" s="1" t="s">
        <v>44</v>
      </c>
      <c r="H28" s="13" t="s">
        <v>29</v>
      </c>
      <c r="I28" s="13" t="s">
        <v>7</v>
      </c>
      <c r="J28" s="4"/>
      <c r="K28" s="5" t="s">
        <v>30</v>
      </c>
      <c r="L28" s="5"/>
      <c r="M28" s="13" t="s">
        <v>290</v>
      </c>
      <c r="N28" s="6" t="s">
        <v>64</v>
      </c>
      <c r="O28" s="37">
        <v>8892</v>
      </c>
      <c r="P28" s="37">
        <v>2454</v>
      </c>
      <c r="Q28" s="37">
        <v>2400</v>
      </c>
      <c r="R28" s="13"/>
      <c r="S28" s="13">
        <v>3845</v>
      </c>
      <c r="T28" s="13">
        <v>2600</v>
      </c>
      <c r="U28" s="13">
        <v>11362</v>
      </c>
      <c r="V28" s="13">
        <v>1330</v>
      </c>
      <c r="W28" s="13">
        <v>6271</v>
      </c>
      <c r="X28" s="13">
        <v>3681</v>
      </c>
      <c r="Y28" s="13"/>
      <c r="Z28" s="1">
        <v>21</v>
      </c>
      <c r="AA28" s="13" t="s">
        <v>346</v>
      </c>
      <c r="AB28" s="13">
        <v>19000</v>
      </c>
      <c r="AC28" s="17"/>
      <c r="AD28" s="14"/>
      <c r="AE28" s="14"/>
      <c r="AF28" s="14"/>
      <c r="AG28" s="14"/>
      <c r="AH28" s="13" t="s">
        <v>170</v>
      </c>
      <c r="AI28" s="13" t="s">
        <v>233</v>
      </c>
      <c r="AJ28" s="37" t="s">
        <v>254</v>
      </c>
      <c r="AK28" s="13" t="s">
        <v>238</v>
      </c>
      <c r="AL28" s="13" t="s">
        <v>161</v>
      </c>
      <c r="AM28" s="13" t="s">
        <v>354</v>
      </c>
      <c r="AN28" s="13" t="s">
        <v>214</v>
      </c>
      <c r="AO28" s="32" t="s">
        <v>228</v>
      </c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20" t="e">
        <f>IF(CONCATENATE(A28,B28,C28,D28,E28,F28,G28,H28,I28,J28,K28,L28,M28,N28,O28,P28,Q28,R28,S28,T28,U28,V28,W28,X28,Y28,Z28,AA28,AB28,AC28,AD28,AE28,AF28,AG28,AH28,AI28,AJ28,AK28,AL28,AM28,AN28,AO28,AP28,AQ28,AR28,AS28,AT28,AU28,AV28,AW28,AX28,AY28,AZ28,BA28,BB28,BC28,BD28,BE28,BF28,BG28,BH28,BI28,BJ28,BK28)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8" s="39" t="s">
        <v>252</v>
      </c>
      <c r="BN28" s="13" t="s">
        <v>143</v>
      </c>
      <c r="BO28" s="48"/>
      <c r="BP28" s="35" t="str">
        <f t="shared" si="0"/>
        <v>FR</v>
      </c>
      <c r="BQ28" s="35" t="str">
        <f t="shared" si="1"/>
        <v>FS_PF_Energie Alter</v>
      </c>
      <c r="BR28" s="35" t="str">
        <f t="shared" si="2"/>
        <v>IVECO</v>
      </c>
      <c r="BS28" s="35" t="str">
        <f t="shared" si="3"/>
        <v>S-WAY</v>
      </c>
      <c r="BT28" s="35" t="str">
        <f t="shared" si="4"/>
        <v>AD190S40 G CF - CARRIER SYBERIA</v>
      </c>
      <c r="BU28" s="35">
        <f t="shared" si="5"/>
        <v>0</v>
      </c>
      <c r="BV28" s="13" t="s">
        <v>290</v>
      </c>
      <c r="BW28" s="6" t="s">
        <v>64</v>
      </c>
      <c r="BX28" s="35" t="str">
        <f t="shared" si="6"/>
        <v>H01</v>
      </c>
      <c r="BY28" s="44" t="str">
        <f t="shared" si="7"/>
        <v>FRFS_PF_Energie AlterAD190S40 G CF - CARRIER SYBERIAH01</v>
      </c>
      <c r="BZ28" s="48"/>
      <c r="CA28" s="35">
        <v>19000</v>
      </c>
      <c r="CB28" s="35">
        <v>19000</v>
      </c>
      <c r="CC28" s="35" t="e">
        <f>VLOOKUP(BY28,#REF!,20,0)</f>
        <v>#REF!</v>
      </c>
      <c r="CD28" s="48"/>
      <c r="CE28" s="36"/>
      <c r="CF28" s="36"/>
      <c r="CG28" s="36"/>
    </row>
    <row r="29" spans="1:85" ht="20.100000000000001" customHeight="1" x14ac:dyDescent="0.25">
      <c r="A29" s="13" t="s">
        <v>78</v>
      </c>
      <c r="B29" s="5" t="s">
        <v>255</v>
      </c>
      <c r="C29" s="5" t="s">
        <v>256</v>
      </c>
      <c r="D29" s="1"/>
      <c r="E29" s="13" t="s">
        <v>34</v>
      </c>
      <c r="F29" s="13" t="s">
        <v>227</v>
      </c>
      <c r="G29" s="1" t="s">
        <v>44</v>
      </c>
      <c r="H29" s="13" t="s">
        <v>12</v>
      </c>
      <c r="I29" s="13" t="s">
        <v>7</v>
      </c>
      <c r="J29" s="4"/>
      <c r="K29" s="5" t="s">
        <v>30</v>
      </c>
      <c r="L29" s="5"/>
      <c r="M29" s="13" t="s">
        <v>291</v>
      </c>
      <c r="N29" s="5" t="s">
        <v>65</v>
      </c>
      <c r="O29" s="37">
        <v>8892</v>
      </c>
      <c r="P29" s="37">
        <v>2454</v>
      </c>
      <c r="Q29" s="37">
        <v>2400</v>
      </c>
      <c r="R29" s="13"/>
      <c r="S29" s="13">
        <v>3845</v>
      </c>
      <c r="T29" s="13">
        <v>2600</v>
      </c>
      <c r="U29" s="13">
        <v>11362</v>
      </c>
      <c r="V29" s="13">
        <v>1330</v>
      </c>
      <c r="W29" s="13">
        <v>6271</v>
      </c>
      <c r="X29" s="13">
        <v>3681</v>
      </c>
      <c r="Y29" s="13"/>
      <c r="Z29" s="1">
        <v>21</v>
      </c>
      <c r="AA29" s="13" t="s">
        <v>347</v>
      </c>
      <c r="AB29" s="13">
        <v>19000</v>
      </c>
      <c r="AC29" s="17"/>
      <c r="AD29" s="14"/>
      <c r="AE29" s="14"/>
      <c r="AF29" s="14"/>
      <c r="AG29" s="14"/>
      <c r="AH29" s="13" t="s">
        <v>170</v>
      </c>
      <c r="AI29" s="13" t="s">
        <v>233</v>
      </c>
      <c r="AJ29" s="37" t="s">
        <v>254</v>
      </c>
      <c r="AK29" s="13" t="s">
        <v>238</v>
      </c>
      <c r="AL29" s="13" t="s">
        <v>162</v>
      </c>
      <c r="AM29" s="13" t="s">
        <v>355</v>
      </c>
      <c r="AN29" s="13" t="s">
        <v>214</v>
      </c>
      <c r="AO29" s="32" t="s">
        <v>237</v>
      </c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20" t="e">
        <f>IF(CONCATENATE(A29,B29,C29,D29,E29,F29,G29,H29,I29,J29,K29,L29,M29,N29,O29,P29,Q29,R29,S29,T29,U29,V29,W29,X29,Y29,Z29,AA29,AB29,AC29,AD29,AE29,AF29,AG29,AH29,AI29,AJ29,AK29,AL29,AM29,AN29,AO29,AP29,AQ29,AR29,AS29,AT29,AU29,AV29,AW29,AX29,AY29,AZ29,BA29,BB29,BC29,BD29,BE29,BF29,BG29,BH29,BI29,BJ29,BK29)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9" s="39" t="s">
        <v>252</v>
      </c>
      <c r="BN29" s="13" t="s">
        <v>147</v>
      </c>
      <c r="BO29" s="48"/>
      <c r="BP29" s="35" t="str">
        <f t="shared" si="0"/>
        <v>FR</v>
      </c>
      <c r="BQ29" s="35" t="str">
        <f t="shared" si="1"/>
        <v>FS_PF_Energie Alter</v>
      </c>
      <c r="BR29" s="35" t="str">
        <f t="shared" si="2"/>
        <v>IVECO</v>
      </c>
      <c r="BS29" s="35" t="str">
        <f t="shared" si="3"/>
        <v>S-WAY</v>
      </c>
      <c r="BT29" s="35" t="str">
        <f t="shared" si="4"/>
        <v>AD190S40 G CF - CARRIER SYBERIA MT</v>
      </c>
      <c r="BU29" s="35">
        <f t="shared" si="5"/>
        <v>0</v>
      </c>
      <c r="BV29" s="13" t="s">
        <v>291</v>
      </c>
      <c r="BW29" s="5" t="s">
        <v>65</v>
      </c>
      <c r="BX29" s="35" t="str">
        <f t="shared" si="6"/>
        <v>H02</v>
      </c>
      <c r="BY29" s="44" t="str">
        <f t="shared" si="7"/>
        <v>FRFS_PF_Energie AlterAD190S40 G CF - CARRIER SYBERIA MTH02</v>
      </c>
      <c r="BZ29" s="48"/>
      <c r="CA29" s="35">
        <v>19000</v>
      </c>
      <c r="CB29" s="35">
        <v>19000</v>
      </c>
      <c r="CC29" s="35" t="e">
        <f>VLOOKUP(BY29,#REF!,20,0)</f>
        <v>#REF!</v>
      </c>
      <c r="CD29" s="48"/>
      <c r="CE29" s="36"/>
      <c r="CF29" s="36"/>
      <c r="CG29" s="36"/>
    </row>
    <row r="30" spans="1:85" ht="20.100000000000001" customHeight="1" x14ac:dyDescent="0.25">
      <c r="A30" s="13" t="s">
        <v>78</v>
      </c>
      <c r="B30" s="5" t="s">
        <v>255</v>
      </c>
      <c r="C30" s="5" t="s">
        <v>256</v>
      </c>
      <c r="D30" s="1"/>
      <c r="E30" s="13" t="s">
        <v>34</v>
      </c>
      <c r="F30" s="13" t="s">
        <v>227</v>
      </c>
      <c r="G30" s="1" t="s">
        <v>44</v>
      </c>
      <c r="H30" s="13" t="s">
        <v>29</v>
      </c>
      <c r="I30" s="13" t="s">
        <v>7</v>
      </c>
      <c r="J30" s="4"/>
      <c r="K30" s="5" t="s">
        <v>30</v>
      </c>
      <c r="L30" s="5"/>
      <c r="M30" s="13" t="s">
        <v>280</v>
      </c>
      <c r="N30" s="6" t="s">
        <v>64</v>
      </c>
      <c r="O30" s="37">
        <v>8892</v>
      </c>
      <c r="P30" s="37">
        <v>2454</v>
      </c>
      <c r="Q30" s="37">
        <v>2400</v>
      </c>
      <c r="R30" s="13"/>
      <c r="S30" s="13">
        <v>3845</v>
      </c>
      <c r="T30" s="13">
        <v>2600</v>
      </c>
      <c r="U30" s="13">
        <v>11362</v>
      </c>
      <c r="V30" s="13">
        <v>1330</v>
      </c>
      <c r="W30" s="13">
        <v>6271</v>
      </c>
      <c r="X30" s="13">
        <v>3681</v>
      </c>
      <c r="Y30" s="13"/>
      <c r="Z30" s="1">
        <v>21</v>
      </c>
      <c r="AA30" s="13" t="s">
        <v>337</v>
      </c>
      <c r="AB30" s="13">
        <v>19000</v>
      </c>
      <c r="AC30" s="17"/>
      <c r="AD30" s="14"/>
      <c r="AE30" s="14"/>
      <c r="AF30" s="14"/>
      <c r="AG30" s="14"/>
      <c r="AH30" s="13" t="s">
        <v>170</v>
      </c>
      <c r="AI30" s="13" t="s">
        <v>233</v>
      </c>
      <c r="AJ30" s="37" t="s">
        <v>254</v>
      </c>
      <c r="AK30" s="13" t="s">
        <v>238</v>
      </c>
      <c r="AL30" s="13" t="s">
        <v>161</v>
      </c>
      <c r="AM30" s="13" t="s">
        <v>250</v>
      </c>
      <c r="AN30" s="13" t="s">
        <v>214</v>
      </c>
      <c r="AO30" s="32" t="s">
        <v>228</v>
      </c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20" t="e">
        <f>IF(CONCATENATE(A30,B30,C30,D30,E30,F30,G30,H30,I30,J30,K30,L30,M30,N30,O30,P30,Q30,R30,S30,T30,U30,V30,W30,X30,Y30,Z30,AA30,AB30,AC30,AD30,AE30,AF30,AG30,AH30,AI30,AJ30,AK30,AL30,AM30,AN30,AO30,AP30,AQ30,AR30,AS30,AT30,AU30,AV30,AW30,AX30,AY30,AZ30,BA30,BB30,BC30,BD30,BE30,BF30,BG30,BH30,BI30,BJ30,BK30)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0" s="39" t="s">
        <v>252</v>
      </c>
      <c r="BN30" s="13" t="s">
        <v>143</v>
      </c>
      <c r="BO30" s="48"/>
      <c r="BP30" s="35" t="str">
        <f t="shared" si="0"/>
        <v>FR</v>
      </c>
      <c r="BQ30" s="35" t="str">
        <f t="shared" si="1"/>
        <v>FS_PF_Energie Alter</v>
      </c>
      <c r="BR30" s="35" t="str">
        <f t="shared" si="2"/>
        <v>IVECO</v>
      </c>
      <c r="BS30" s="35" t="str">
        <f t="shared" si="3"/>
        <v>S-WAY</v>
      </c>
      <c r="BT30" s="35" t="str">
        <f t="shared" si="4"/>
        <v>AD190S40 G CF - FK 25</v>
      </c>
      <c r="BU30" s="35">
        <f t="shared" si="5"/>
        <v>0</v>
      </c>
      <c r="BV30" s="13" t="s">
        <v>280</v>
      </c>
      <c r="BW30" s="6" t="s">
        <v>64</v>
      </c>
      <c r="BX30" s="35" t="str">
        <f t="shared" si="6"/>
        <v>H01</v>
      </c>
      <c r="BY30" s="44" t="str">
        <f t="shared" si="7"/>
        <v>FRFS_PF_Energie AlterAD190S40 G CF - FK 25H01</v>
      </c>
      <c r="BZ30" s="48"/>
      <c r="CA30" s="35">
        <v>19000</v>
      </c>
      <c r="CB30" s="35">
        <v>19000</v>
      </c>
      <c r="CC30" s="35" t="e">
        <f>VLOOKUP(BY30,#REF!,20,0)</f>
        <v>#REF!</v>
      </c>
      <c r="CD30" s="48"/>
      <c r="CE30" s="36"/>
      <c r="CF30" s="36"/>
      <c r="CG30" s="36"/>
    </row>
    <row r="31" spans="1:85" ht="20.100000000000001" customHeight="1" x14ac:dyDescent="0.25">
      <c r="A31" s="13" t="s">
        <v>78</v>
      </c>
      <c r="B31" s="5" t="s">
        <v>255</v>
      </c>
      <c r="C31" s="5" t="s">
        <v>256</v>
      </c>
      <c r="D31" s="1"/>
      <c r="E31" s="13" t="s">
        <v>34</v>
      </c>
      <c r="F31" s="13" t="s">
        <v>227</v>
      </c>
      <c r="G31" s="1" t="s">
        <v>44</v>
      </c>
      <c r="H31" s="13" t="s">
        <v>12</v>
      </c>
      <c r="I31" s="13" t="s">
        <v>7</v>
      </c>
      <c r="J31" s="4"/>
      <c r="K31" s="5" t="s">
        <v>30</v>
      </c>
      <c r="L31" s="5"/>
      <c r="M31" s="13" t="s">
        <v>281</v>
      </c>
      <c r="N31" s="5" t="s">
        <v>65</v>
      </c>
      <c r="O31" s="37">
        <v>8892</v>
      </c>
      <c r="P31" s="37">
        <v>2454</v>
      </c>
      <c r="Q31" s="37">
        <v>2400</v>
      </c>
      <c r="R31" s="13"/>
      <c r="S31" s="13">
        <v>3845</v>
      </c>
      <c r="T31" s="13">
        <v>2600</v>
      </c>
      <c r="U31" s="13">
        <v>11362</v>
      </c>
      <c r="V31" s="13">
        <v>1330</v>
      </c>
      <c r="W31" s="13">
        <v>6271</v>
      </c>
      <c r="X31" s="13">
        <v>3681</v>
      </c>
      <c r="Y31" s="13"/>
      <c r="Z31" s="1">
        <v>21</v>
      </c>
      <c r="AA31" s="13" t="s">
        <v>321</v>
      </c>
      <c r="AB31" s="13">
        <v>19000</v>
      </c>
      <c r="AC31" s="17"/>
      <c r="AD31" s="14"/>
      <c r="AE31" s="14"/>
      <c r="AF31" s="14"/>
      <c r="AG31" s="14"/>
      <c r="AH31" s="13" t="s">
        <v>170</v>
      </c>
      <c r="AI31" s="13" t="s">
        <v>233</v>
      </c>
      <c r="AJ31" s="37" t="s">
        <v>254</v>
      </c>
      <c r="AK31" s="13" t="s">
        <v>238</v>
      </c>
      <c r="AL31" s="13" t="s">
        <v>162</v>
      </c>
      <c r="AM31" s="13" t="s">
        <v>251</v>
      </c>
      <c r="AN31" s="13" t="s">
        <v>214</v>
      </c>
      <c r="AO31" s="32" t="s">
        <v>237</v>
      </c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20" t="e">
        <f>IF(CONCATENATE(A31,B31,C31,D31,E31,F31,G31,H31,I31,J31,K31,L31,M31,N31,O31,P31,Q31,R31,S31,T31,U31,V31,W31,X31,Y31,Z31,AA31,AB31,AC31,AD31,AE31,AF31,AG31,AH31,AI31,AJ31,AK31,AL31,AM31,AN31,AO31,AP31,AQ31,AR31,AS31,AT31,AU31,AV31,AW31,AX31,AY31,AZ31,BA31,BB31,BC31,BD31,BE31,BF31,BG31,BH31,BI31,BJ31,BK31)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1" s="39" t="s">
        <v>252</v>
      </c>
      <c r="BN31" s="13" t="s">
        <v>147</v>
      </c>
      <c r="BO31" s="48"/>
      <c r="BP31" s="35" t="str">
        <f t="shared" si="0"/>
        <v>FR</v>
      </c>
      <c r="BQ31" s="35" t="str">
        <f t="shared" si="1"/>
        <v>FS_PF_Energie Alter</v>
      </c>
      <c r="BR31" s="35" t="str">
        <f t="shared" si="2"/>
        <v>IVECO</v>
      </c>
      <c r="BS31" s="35" t="str">
        <f t="shared" si="3"/>
        <v>S-WAY</v>
      </c>
      <c r="BT31" s="35" t="str">
        <f t="shared" si="4"/>
        <v>AD190S40 G CF - FK 25I MT</v>
      </c>
      <c r="BU31" s="35">
        <f t="shared" si="5"/>
        <v>0</v>
      </c>
      <c r="BV31" s="13" t="s">
        <v>281</v>
      </c>
      <c r="BW31" s="5" t="s">
        <v>65</v>
      </c>
      <c r="BX31" s="35" t="str">
        <f t="shared" si="6"/>
        <v>H02</v>
      </c>
      <c r="BY31" s="44" t="str">
        <f t="shared" si="7"/>
        <v>FRFS_PF_Energie AlterAD190S40 G CF - FK 25I MTH02</v>
      </c>
      <c r="BZ31" s="48"/>
      <c r="CA31" s="35">
        <v>19000</v>
      </c>
      <c r="CB31" s="35">
        <v>19000</v>
      </c>
      <c r="CC31" s="35" t="e">
        <f>VLOOKUP(BY31,#REF!,20,0)</f>
        <v>#REF!</v>
      </c>
      <c r="CD31" s="48"/>
      <c r="CE31" s="36"/>
      <c r="CF31" s="36"/>
      <c r="CG31" s="36"/>
    </row>
    <row r="32" spans="1:85" ht="20.100000000000001" customHeight="1" x14ac:dyDescent="0.25">
      <c r="A32" s="4" t="s">
        <v>78</v>
      </c>
      <c r="B32" s="5" t="s">
        <v>255</v>
      </c>
      <c r="C32" s="5" t="s">
        <v>256</v>
      </c>
      <c r="D32" s="1"/>
      <c r="E32" s="4" t="s">
        <v>34</v>
      </c>
      <c r="F32" s="4" t="s">
        <v>227</v>
      </c>
      <c r="G32" s="4" t="s">
        <v>45</v>
      </c>
      <c r="H32" s="4" t="s">
        <v>29</v>
      </c>
      <c r="I32" s="4" t="s">
        <v>7</v>
      </c>
      <c r="J32" s="4"/>
      <c r="K32" s="4" t="s">
        <v>30</v>
      </c>
      <c r="L32" s="4"/>
      <c r="M32" s="4" t="s">
        <v>284</v>
      </c>
      <c r="N32" s="6" t="s">
        <v>64</v>
      </c>
      <c r="O32" s="4">
        <v>9490</v>
      </c>
      <c r="P32" s="4">
        <v>2454</v>
      </c>
      <c r="Q32" s="4">
        <v>2400</v>
      </c>
      <c r="R32" s="4"/>
      <c r="S32" s="4">
        <v>3845</v>
      </c>
      <c r="T32" s="4">
        <v>2600</v>
      </c>
      <c r="U32" s="4">
        <v>11930</v>
      </c>
      <c r="V32" s="4">
        <v>1330</v>
      </c>
      <c r="W32" s="4">
        <v>6050</v>
      </c>
      <c r="X32" s="4">
        <v>3075</v>
      </c>
      <c r="Y32" s="4"/>
      <c r="Z32" s="1">
        <v>23</v>
      </c>
      <c r="AA32" s="4" t="s">
        <v>338</v>
      </c>
      <c r="AB32" s="4">
        <v>26000</v>
      </c>
      <c r="AC32" s="30"/>
      <c r="AD32" s="6"/>
      <c r="AE32" s="6"/>
      <c r="AF32" s="6"/>
      <c r="AG32" s="6"/>
      <c r="AH32" s="4" t="s">
        <v>171</v>
      </c>
      <c r="AI32" s="4" t="s">
        <v>233</v>
      </c>
      <c r="AJ32" s="37" t="s">
        <v>254</v>
      </c>
      <c r="AK32" s="18" t="s">
        <v>238</v>
      </c>
      <c r="AL32" s="4" t="s">
        <v>163</v>
      </c>
      <c r="AM32" s="4" t="s">
        <v>249</v>
      </c>
      <c r="AN32" s="4" t="s">
        <v>214</v>
      </c>
      <c r="AO32" s="33" t="s">
        <v>91</v>
      </c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20" t="e">
        <f>IF(CONCATENATE(A32,B32,C32,D32,E32,F32,G32,H32,I32,J32,K32,L32,M32,N32,O32,P32,Q32,R32,S32,T32,U32,V32,W32,X32,Y32,Z32,AA32,AB32,AC32,AD32,AE32,AF32,AG32,AH32,AI32,AJ32,AK32,AL32,AM32,AN32,AO32,AP32,AQ32,AR32,AS32,AT32,AU32,AV32,AW32,AX32,AY32,AZ32,BA32,BB32,BC32,BD32,BE32,BF32,BG32,BH32,BI32,BJ32,BK32)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2" s="39" t="s">
        <v>252</v>
      </c>
      <c r="BN32" s="8" t="s">
        <v>144</v>
      </c>
      <c r="BO32" s="48"/>
      <c r="BP32" s="35" t="str">
        <f t="shared" si="0"/>
        <v>FR</v>
      </c>
      <c r="BQ32" s="35" t="str">
        <f t="shared" si="1"/>
        <v>FS_PF_Energie Alter</v>
      </c>
      <c r="BR32" s="35" t="str">
        <f t="shared" si="2"/>
        <v>IVECO</v>
      </c>
      <c r="BS32" s="35" t="str">
        <f t="shared" si="3"/>
        <v>S-WAY</v>
      </c>
      <c r="BT32" s="35" t="str">
        <f t="shared" si="4"/>
        <v>AD260S40 G CF - SUPRA GAZ</v>
      </c>
      <c r="BU32" s="35">
        <f t="shared" si="5"/>
        <v>0</v>
      </c>
      <c r="BV32" s="4" t="s">
        <v>284</v>
      </c>
      <c r="BW32" s="6" t="s">
        <v>64</v>
      </c>
      <c r="BX32" s="35" t="str">
        <f t="shared" si="6"/>
        <v>H01</v>
      </c>
      <c r="BY32" s="44" t="str">
        <f t="shared" si="7"/>
        <v>FRFS_PF_Energie AlterAD260S40 G CF - SUPRA GAZH01</v>
      </c>
      <c r="BZ32" s="48"/>
      <c r="CA32" s="35">
        <v>26000</v>
      </c>
      <c r="CB32" s="35">
        <v>26000</v>
      </c>
      <c r="CC32" s="35" t="e">
        <f>VLOOKUP(BY32,#REF!,20,0)</f>
        <v>#REF!</v>
      </c>
      <c r="CD32" s="48"/>
      <c r="CE32" s="36"/>
      <c r="CF32" s="36"/>
      <c r="CG32" s="36"/>
    </row>
    <row r="33" spans="1:85" ht="20.100000000000001" customHeight="1" x14ac:dyDescent="0.25">
      <c r="A33" s="4" t="s">
        <v>78</v>
      </c>
      <c r="B33" s="5" t="s">
        <v>255</v>
      </c>
      <c r="C33" s="5" t="s">
        <v>256</v>
      </c>
      <c r="D33" s="1"/>
      <c r="E33" s="4" t="s">
        <v>34</v>
      </c>
      <c r="F33" s="4" t="s">
        <v>227</v>
      </c>
      <c r="G33" s="4" t="s">
        <v>45</v>
      </c>
      <c r="H33" s="4" t="s">
        <v>12</v>
      </c>
      <c r="I33" s="4" t="s">
        <v>7</v>
      </c>
      <c r="J33" s="4"/>
      <c r="K33" s="4" t="s">
        <v>30</v>
      </c>
      <c r="L33" s="4"/>
      <c r="M33" s="4" t="s">
        <v>285</v>
      </c>
      <c r="N33" s="5" t="s">
        <v>65</v>
      </c>
      <c r="O33" s="4">
        <v>9490</v>
      </c>
      <c r="P33" s="4">
        <v>2454</v>
      </c>
      <c r="Q33" s="4">
        <v>2400</v>
      </c>
      <c r="R33" s="4"/>
      <c r="S33" s="4">
        <v>3845</v>
      </c>
      <c r="T33" s="4">
        <v>2600</v>
      </c>
      <c r="U33" s="4">
        <v>11930</v>
      </c>
      <c r="V33" s="4">
        <v>1330</v>
      </c>
      <c r="W33" s="4">
        <v>6050</v>
      </c>
      <c r="X33" s="4">
        <v>3075</v>
      </c>
      <c r="Y33" s="4"/>
      <c r="Z33" s="1">
        <v>23</v>
      </c>
      <c r="AA33" s="4" t="s">
        <v>322</v>
      </c>
      <c r="AB33" s="4">
        <v>26000</v>
      </c>
      <c r="AC33" s="30"/>
      <c r="AD33" s="6"/>
      <c r="AE33" s="6"/>
      <c r="AF33" s="6"/>
      <c r="AG33" s="6"/>
      <c r="AH33" s="4" t="s">
        <v>171</v>
      </c>
      <c r="AI33" s="4" t="s">
        <v>233</v>
      </c>
      <c r="AJ33" s="37" t="s">
        <v>254</v>
      </c>
      <c r="AK33" s="18" t="s">
        <v>238</v>
      </c>
      <c r="AL33" s="4" t="s">
        <v>164</v>
      </c>
      <c r="AM33" s="4" t="s">
        <v>248</v>
      </c>
      <c r="AN33" s="4" t="s">
        <v>214</v>
      </c>
      <c r="AO33" s="31" t="s">
        <v>92</v>
      </c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20" t="e">
        <f>IF(CONCATENATE(A33,B33,C33,D33,E33,F33,G33,H33,I33,J33,K33,L33,M33,N33,O33,P33,Q33,R33,S33,T33,U33,V33,W33,X33,Y33,Z33,AA33,AB33,AC33,AD33,AE33,AF33,AG33,AH33,AI33,AJ33,AK33,AL33,AM33,AN33,AO33,AP33,AQ33,AR33,AS33,AT33,AU33,AV33,AW33,AX33,AY33,AZ33,BA33,BB33,BC33,BD33,BE33,BF33,BG33,BH33,BI33,BJ33,BK33)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3" s="39" t="s">
        <v>252</v>
      </c>
      <c r="BN33" s="8" t="s">
        <v>149</v>
      </c>
      <c r="BO33" s="48"/>
      <c r="BP33" s="35" t="str">
        <f t="shared" si="0"/>
        <v>FR</v>
      </c>
      <c r="BQ33" s="35" t="str">
        <f t="shared" si="1"/>
        <v>FS_PF_Energie Alter</v>
      </c>
      <c r="BR33" s="35" t="str">
        <f t="shared" si="2"/>
        <v>IVECO</v>
      </c>
      <c r="BS33" s="35" t="str">
        <f t="shared" si="3"/>
        <v>S-WAY</v>
      </c>
      <c r="BT33" s="35" t="str">
        <f t="shared" si="4"/>
        <v>AD260S40 G CF - SUPRA GAZ MT</v>
      </c>
      <c r="BU33" s="35">
        <f t="shared" si="5"/>
        <v>0</v>
      </c>
      <c r="BV33" s="4" t="s">
        <v>285</v>
      </c>
      <c r="BW33" s="5" t="s">
        <v>65</v>
      </c>
      <c r="BX33" s="35" t="str">
        <f t="shared" si="6"/>
        <v>H02</v>
      </c>
      <c r="BY33" s="44" t="str">
        <f t="shared" si="7"/>
        <v>FRFS_PF_Energie AlterAD260S40 G CF - SUPRA GAZ MTH02</v>
      </c>
      <c r="BZ33" s="48"/>
      <c r="CA33" s="35">
        <v>26000</v>
      </c>
      <c r="CB33" s="35">
        <v>26000</v>
      </c>
      <c r="CC33" s="35" t="e">
        <f>VLOOKUP(BY33,#REF!,20,0)</f>
        <v>#REF!</v>
      </c>
      <c r="CD33" s="48"/>
      <c r="CE33" s="36"/>
      <c r="CF33" s="36"/>
      <c r="CG33" s="36"/>
    </row>
    <row r="34" spans="1:85" ht="20.100000000000001" customHeight="1" x14ac:dyDescent="0.25">
      <c r="A34" s="4" t="s">
        <v>78</v>
      </c>
      <c r="B34" s="5" t="s">
        <v>255</v>
      </c>
      <c r="C34" s="5" t="s">
        <v>256</v>
      </c>
      <c r="D34" s="1"/>
      <c r="E34" s="4" t="s">
        <v>34</v>
      </c>
      <c r="F34" s="4" t="s">
        <v>227</v>
      </c>
      <c r="G34" s="4" t="s">
        <v>45</v>
      </c>
      <c r="H34" s="4" t="s">
        <v>29</v>
      </c>
      <c r="I34" s="4" t="s">
        <v>7</v>
      </c>
      <c r="J34" s="4"/>
      <c r="K34" s="4" t="s">
        <v>30</v>
      </c>
      <c r="L34" s="4"/>
      <c r="M34" s="4" t="s">
        <v>292</v>
      </c>
      <c r="N34" s="6" t="s">
        <v>64</v>
      </c>
      <c r="O34" s="4">
        <v>9490</v>
      </c>
      <c r="P34" s="4">
        <v>2454</v>
      </c>
      <c r="Q34" s="4">
        <v>2400</v>
      </c>
      <c r="R34" s="4"/>
      <c r="S34" s="4">
        <v>3845</v>
      </c>
      <c r="T34" s="4">
        <v>2600</v>
      </c>
      <c r="U34" s="4">
        <v>11930</v>
      </c>
      <c r="V34" s="4">
        <v>1330</v>
      </c>
      <c r="W34" s="4">
        <v>6050</v>
      </c>
      <c r="X34" s="4">
        <v>3075</v>
      </c>
      <c r="Y34" s="4"/>
      <c r="Z34" s="1">
        <v>23</v>
      </c>
      <c r="AA34" s="4" t="s">
        <v>346</v>
      </c>
      <c r="AB34" s="4">
        <v>26000</v>
      </c>
      <c r="AC34" s="30"/>
      <c r="AD34" s="6"/>
      <c r="AE34" s="6"/>
      <c r="AF34" s="6"/>
      <c r="AG34" s="6"/>
      <c r="AH34" s="4" t="s">
        <v>171</v>
      </c>
      <c r="AI34" s="4" t="s">
        <v>233</v>
      </c>
      <c r="AJ34" s="37" t="s">
        <v>254</v>
      </c>
      <c r="AK34" s="18" t="s">
        <v>238</v>
      </c>
      <c r="AL34" s="4" t="s">
        <v>163</v>
      </c>
      <c r="AM34" s="4" t="s">
        <v>354</v>
      </c>
      <c r="AN34" s="4" t="s">
        <v>214</v>
      </c>
      <c r="AO34" s="31" t="s">
        <v>91</v>
      </c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20" t="e">
        <f>IF(CONCATENATE(A34,B34,C34,D34,E34,F34,G34,H34,I34,J34,K34,L34,M34,N34,O34,P34,Q34,R34,S34,T34,U34,V34,W34,X34,Y34,Z34,AA34,AB34,AC34,AD34,AE34,AF34,AG34,AH34,AI34,AJ34,AK34,AL34,AM34,AN34,AO34,AP34,AQ34,AR34,AS34,AT34,AU34,AV34,AW34,AX34,AY34,AZ34,BA34,BB34,BC34,BD34,BE34,BF34,BG34,BH34,BI34,BJ34,BK34)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4" s="39" t="s">
        <v>252</v>
      </c>
      <c r="BN34" s="8" t="s">
        <v>144</v>
      </c>
      <c r="BO34" s="48"/>
      <c r="BP34" s="35" t="str">
        <f t="shared" ref="BP34:BP58" si="8">A34</f>
        <v>FR</v>
      </c>
      <c r="BQ34" s="35" t="str">
        <f t="shared" ref="BQ34:BQ58" si="9">B34</f>
        <v>FS_PF_Energie Alter</v>
      </c>
      <c r="BR34" s="35" t="str">
        <f t="shared" ref="BR34:BR58" si="10">E34</f>
        <v>IVECO</v>
      </c>
      <c r="BS34" s="35" t="str">
        <f t="shared" ref="BS34:BS58" si="11">F34</f>
        <v>S-WAY</v>
      </c>
      <c r="BT34" s="35" t="str">
        <f t="shared" ref="BT34:BT58" si="12">M34</f>
        <v>AD260S40 G CF - CARRIER SYBERIA</v>
      </c>
      <c r="BU34" s="35">
        <f t="shared" ref="BU34:BU58" si="13">IF(BT34=BV34,0,1)</f>
        <v>0</v>
      </c>
      <c r="BV34" s="4" t="s">
        <v>292</v>
      </c>
      <c r="BW34" s="6" t="s">
        <v>64</v>
      </c>
      <c r="BX34" s="35" t="str">
        <f t="shared" ref="BX34:BX58" si="14">N34</f>
        <v>H01</v>
      </c>
      <c r="BY34" s="44" t="str">
        <f t="shared" ref="BY34:BY58" si="15">CONCATENATE(BP34,BQ34,BT34,BX34)</f>
        <v>FRFS_PF_Energie AlterAD260S40 G CF - CARRIER SYBERIAH01</v>
      </c>
      <c r="BZ34" s="48"/>
      <c r="CA34" s="35">
        <v>26000</v>
      </c>
      <c r="CB34" s="35">
        <v>26000</v>
      </c>
      <c r="CC34" s="35" t="e">
        <f>VLOOKUP(BY34,#REF!,20,0)</f>
        <v>#REF!</v>
      </c>
      <c r="CD34" s="48"/>
      <c r="CE34" s="36"/>
      <c r="CF34" s="36"/>
      <c r="CG34" s="36"/>
    </row>
    <row r="35" spans="1:85" ht="20.100000000000001" customHeight="1" x14ac:dyDescent="0.25">
      <c r="A35" s="4" t="s">
        <v>78</v>
      </c>
      <c r="B35" s="5" t="s">
        <v>255</v>
      </c>
      <c r="C35" s="5" t="s">
        <v>256</v>
      </c>
      <c r="D35" s="1"/>
      <c r="E35" s="4" t="s">
        <v>34</v>
      </c>
      <c r="F35" s="4" t="s">
        <v>227</v>
      </c>
      <c r="G35" s="4" t="s">
        <v>45</v>
      </c>
      <c r="H35" s="4" t="s">
        <v>12</v>
      </c>
      <c r="I35" s="4" t="s">
        <v>7</v>
      </c>
      <c r="J35" s="4"/>
      <c r="K35" s="4" t="s">
        <v>30</v>
      </c>
      <c r="L35" s="4"/>
      <c r="M35" s="4" t="s">
        <v>293</v>
      </c>
      <c r="N35" s="5" t="s">
        <v>65</v>
      </c>
      <c r="O35" s="4">
        <v>9490</v>
      </c>
      <c r="P35" s="4">
        <v>2454</v>
      </c>
      <c r="Q35" s="4">
        <v>2400</v>
      </c>
      <c r="R35" s="4"/>
      <c r="S35" s="4">
        <v>3845</v>
      </c>
      <c r="T35" s="4">
        <v>2600</v>
      </c>
      <c r="U35" s="4">
        <v>11930</v>
      </c>
      <c r="V35" s="4">
        <v>1330</v>
      </c>
      <c r="W35" s="4">
        <v>6050</v>
      </c>
      <c r="X35" s="4">
        <v>3075</v>
      </c>
      <c r="Y35" s="4"/>
      <c r="Z35" s="1">
        <v>23</v>
      </c>
      <c r="AA35" s="4" t="s">
        <v>347</v>
      </c>
      <c r="AB35" s="4">
        <v>26000</v>
      </c>
      <c r="AC35" s="30"/>
      <c r="AD35" s="6"/>
      <c r="AE35" s="6"/>
      <c r="AF35" s="6"/>
      <c r="AG35" s="6"/>
      <c r="AH35" s="4" t="s">
        <v>171</v>
      </c>
      <c r="AI35" s="4" t="s">
        <v>233</v>
      </c>
      <c r="AJ35" s="37" t="s">
        <v>254</v>
      </c>
      <c r="AK35" s="18" t="s">
        <v>238</v>
      </c>
      <c r="AL35" s="4" t="s">
        <v>164</v>
      </c>
      <c r="AM35" s="4" t="s">
        <v>355</v>
      </c>
      <c r="AN35" s="4" t="s">
        <v>214</v>
      </c>
      <c r="AO35" s="31" t="s">
        <v>92</v>
      </c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20" t="e">
        <f>IF(CONCATENATE(A35,B35,C35,D35,E35,F35,G35,H35,I35,J35,K35,L35,M35,N35,O35,P35,Q35,R35,S35,T35,U35,V35,W35,X35,Y35,Z35,AA35,AB35,AC35,AD35,AE35,AF35,AG35,AH35,AI35,AJ35,AK35,AL35,AM35,AN35,AO35,AP35,AQ35,AR35,AS35,AT35,AU35,AV35,AW35,AX35,AY35,AZ35,BA35,BB35,BC35,BD35,BE35,BF35,BG35,BH35,BI35,BJ35,BK35)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5" s="39" t="s">
        <v>252</v>
      </c>
      <c r="BN35" s="8" t="s">
        <v>149</v>
      </c>
      <c r="BO35" s="48"/>
      <c r="BP35" s="35" t="str">
        <f t="shared" si="8"/>
        <v>FR</v>
      </c>
      <c r="BQ35" s="35" t="str">
        <f t="shared" si="9"/>
        <v>FS_PF_Energie Alter</v>
      </c>
      <c r="BR35" s="35" t="str">
        <f t="shared" si="10"/>
        <v>IVECO</v>
      </c>
      <c r="BS35" s="35" t="str">
        <f t="shared" si="11"/>
        <v>S-WAY</v>
      </c>
      <c r="BT35" s="35" t="str">
        <f t="shared" si="12"/>
        <v>AD260S40 G CF - CARRIER SYBERIA MT</v>
      </c>
      <c r="BU35" s="35">
        <f t="shared" si="13"/>
        <v>0</v>
      </c>
      <c r="BV35" s="4" t="s">
        <v>293</v>
      </c>
      <c r="BW35" s="5" t="s">
        <v>65</v>
      </c>
      <c r="BX35" s="35" t="str">
        <f t="shared" si="14"/>
        <v>H02</v>
      </c>
      <c r="BY35" s="44" t="str">
        <f t="shared" si="15"/>
        <v>FRFS_PF_Energie AlterAD260S40 G CF - CARRIER SYBERIA MTH02</v>
      </c>
      <c r="BZ35" s="48"/>
      <c r="CA35" s="35">
        <v>26000</v>
      </c>
      <c r="CB35" s="35">
        <v>26000</v>
      </c>
      <c r="CC35" s="35" t="e">
        <f>VLOOKUP(BY35,#REF!,20,0)</f>
        <v>#REF!</v>
      </c>
      <c r="CD35" s="48"/>
      <c r="CE35" s="36"/>
      <c r="CF35" s="36"/>
      <c r="CG35" s="36"/>
    </row>
    <row r="36" spans="1:85" ht="20.100000000000001" customHeight="1" x14ac:dyDescent="0.25">
      <c r="A36" s="4" t="s">
        <v>78</v>
      </c>
      <c r="B36" s="5" t="s">
        <v>255</v>
      </c>
      <c r="C36" s="5" t="s">
        <v>256</v>
      </c>
      <c r="D36" s="1"/>
      <c r="E36" s="4" t="s">
        <v>34</v>
      </c>
      <c r="F36" s="4" t="s">
        <v>227</v>
      </c>
      <c r="G36" s="4" t="s">
        <v>45</v>
      </c>
      <c r="H36" s="4" t="s">
        <v>29</v>
      </c>
      <c r="I36" s="4" t="s">
        <v>7</v>
      </c>
      <c r="J36" s="4"/>
      <c r="K36" s="4" t="s">
        <v>30</v>
      </c>
      <c r="L36" s="4"/>
      <c r="M36" s="4" t="s">
        <v>286</v>
      </c>
      <c r="N36" s="6" t="s">
        <v>64</v>
      </c>
      <c r="O36" s="4">
        <v>9490</v>
      </c>
      <c r="P36" s="4">
        <v>2454</v>
      </c>
      <c r="Q36" s="4">
        <v>2400</v>
      </c>
      <c r="R36" s="4"/>
      <c r="S36" s="4">
        <v>3845</v>
      </c>
      <c r="T36" s="4">
        <v>2600</v>
      </c>
      <c r="U36" s="4">
        <v>11930</v>
      </c>
      <c r="V36" s="4">
        <v>1330</v>
      </c>
      <c r="W36" s="4">
        <v>6050</v>
      </c>
      <c r="X36" s="4">
        <v>3075</v>
      </c>
      <c r="Y36" s="4"/>
      <c r="Z36" s="1">
        <v>23</v>
      </c>
      <c r="AA36" s="4" t="s">
        <v>337</v>
      </c>
      <c r="AB36" s="4">
        <v>26000</v>
      </c>
      <c r="AC36" s="30"/>
      <c r="AD36" s="6"/>
      <c r="AE36" s="6"/>
      <c r="AF36" s="6"/>
      <c r="AG36" s="6"/>
      <c r="AH36" s="4" t="s">
        <v>171</v>
      </c>
      <c r="AI36" s="4" t="s">
        <v>233</v>
      </c>
      <c r="AJ36" s="37" t="s">
        <v>254</v>
      </c>
      <c r="AK36" s="18" t="s">
        <v>238</v>
      </c>
      <c r="AL36" s="4" t="s">
        <v>163</v>
      </c>
      <c r="AM36" s="4" t="s">
        <v>250</v>
      </c>
      <c r="AN36" s="4" t="s">
        <v>214</v>
      </c>
      <c r="AO36" s="31" t="s">
        <v>91</v>
      </c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20" t="e">
        <f>IF(CONCATENATE(A36,B36,C36,D36,E36,F36,G36,H36,I36,J36,K36,L36,M36,N36,O36,P36,Q36,R36,S36,T36,U36,V36,W36,X36,Y36,Z36,AA36,AB36,AC36,AD36,AE36,AF36,AG36,AH36,AI36,AJ36,AK36,AL36,AM36,AN36,AO36,AP36,AQ36,AR36,AS36,AT36,AU36,AV36,AW36,AX36,AY36,AZ36,BA36,BB36,BC36,BD36,BE36,BF36,BG36,BH36,BI36,BJ36,BK36)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6" s="39" t="s">
        <v>252</v>
      </c>
      <c r="BN36" s="8" t="s">
        <v>144</v>
      </c>
      <c r="BO36" s="48"/>
      <c r="BP36" s="35" t="str">
        <f t="shared" si="8"/>
        <v>FR</v>
      </c>
      <c r="BQ36" s="35" t="str">
        <f t="shared" si="9"/>
        <v>FS_PF_Energie Alter</v>
      </c>
      <c r="BR36" s="35" t="str">
        <f t="shared" si="10"/>
        <v>IVECO</v>
      </c>
      <c r="BS36" s="35" t="str">
        <f t="shared" si="11"/>
        <v>S-WAY</v>
      </c>
      <c r="BT36" s="35" t="str">
        <f t="shared" si="12"/>
        <v>AD260S40 G CF - FK 25</v>
      </c>
      <c r="BU36" s="35">
        <f t="shared" si="13"/>
        <v>0</v>
      </c>
      <c r="BV36" s="4" t="s">
        <v>286</v>
      </c>
      <c r="BW36" s="6" t="s">
        <v>64</v>
      </c>
      <c r="BX36" s="35" t="str">
        <f t="shared" si="14"/>
        <v>H01</v>
      </c>
      <c r="BY36" s="44" t="str">
        <f t="shared" si="15"/>
        <v>FRFS_PF_Energie AlterAD260S40 G CF - FK 25H01</v>
      </c>
      <c r="BZ36" s="48"/>
      <c r="CA36" s="35">
        <v>26000</v>
      </c>
      <c r="CB36" s="35">
        <v>26000</v>
      </c>
      <c r="CC36" s="35" t="e">
        <f>VLOOKUP(BY36,#REF!,20,0)</f>
        <v>#REF!</v>
      </c>
      <c r="CD36" s="48"/>
      <c r="CE36" s="36"/>
      <c r="CF36" s="36"/>
      <c r="CG36" s="36"/>
    </row>
    <row r="37" spans="1:85" ht="20.100000000000001" customHeight="1" x14ac:dyDescent="0.25">
      <c r="A37" s="4" t="s">
        <v>78</v>
      </c>
      <c r="B37" s="5" t="s">
        <v>255</v>
      </c>
      <c r="C37" s="5" t="s">
        <v>256</v>
      </c>
      <c r="D37" s="1"/>
      <c r="E37" s="4" t="s">
        <v>34</v>
      </c>
      <c r="F37" s="4" t="s">
        <v>227</v>
      </c>
      <c r="G37" s="4" t="s">
        <v>45</v>
      </c>
      <c r="H37" s="4" t="s">
        <v>12</v>
      </c>
      <c r="I37" s="4" t="s">
        <v>7</v>
      </c>
      <c r="J37" s="4"/>
      <c r="K37" s="4" t="s">
        <v>30</v>
      </c>
      <c r="L37" s="4"/>
      <c r="M37" s="4" t="s">
        <v>287</v>
      </c>
      <c r="N37" s="5" t="s">
        <v>65</v>
      </c>
      <c r="O37" s="4">
        <v>9490</v>
      </c>
      <c r="P37" s="4">
        <v>2454</v>
      </c>
      <c r="Q37" s="4">
        <v>2400</v>
      </c>
      <c r="R37" s="4"/>
      <c r="S37" s="4">
        <v>3845</v>
      </c>
      <c r="T37" s="4">
        <v>2600</v>
      </c>
      <c r="U37" s="4">
        <v>11930</v>
      </c>
      <c r="V37" s="4">
        <v>1330</v>
      </c>
      <c r="W37" s="4">
        <v>6050</v>
      </c>
      <c r="X37" s="4">
        <v>3075</v>
      </c>
      <c r="Y37" s="4"/>
      <c r="Z37" s="1">
        <v>23</v>
      </c>
      <c r="AA37" s="4" t="s">
        <v>321</v>
      </c>
      <c r="AB37" s="4">
        <v>26000</v>
      </c>
      <c r="AC37" s="30"/>
      <c r="AD37" s="6"/>
      <c r="AE37" s="6"/>
      <c r="AF37" s="6"/>
      <c r="AG37" s="6"/>
      <c r="AH37" s="4" t="s">
        <v>171</v>
      </c>
      <c r="AI37" s="4" t="s">
        <v>233</v>
      </c>
      <c r="AJ37" s="37" t="s">
        <v>254</v>
      </c>
      <c r="AK37" s="18" t="s">
        <v>238</v>
      </c>
      <c r="AL37" s="4" t="s">
        <v>164</v>
      </c>
      <c r="AM37" s="4" t="s">
        <v>251</v>
      </c>
      <c r="AN37" s="4" t="s">
        <v>214</v>
      </c>
      <c r="AO37" s="31" t="s">
        <v>92</v>
      </c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20" t="e">
        <f>IF(CONCATENATE(A37,B37,C37,D37,E37,F37,G37,H37,I37,J37,K37,L37,M37,N37,O37,P37,Q37,R37,S37,T37,U37,V37,W37,X37,Y37,Z37,AA37,AB37,AC37,AD37,AE37,AF37,AG37,AH37,AI37,AJ37,AK37,AL37,AM37,AN37,AO37,AP37,AQ37,AR37,AS37,AT37,AU37,AV37,AW37,AX37,AY37,AZ37,BA37,BB37,BC37,BD37,BE37,BF37,BG37,BH37,BI37,BJ37,BK37)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7" s="39" t="s">
        <v>252</v>
      </c>
      <c r="BN37" s="8" t="s">
        <v>149</v>
      </c>
      <c r="BO37" s="48"/>
      <c r="BP37" s="35" t="str">
        <f t="shared" si="8"/>
        <v>FR</v>
      </c>
      <c r="BQ37" s="35" t="str">
        <f t="shared" si="9"/>
        <v>FS_PF_Energie Alter</v>
      </c>
      <c r="BR37" s="35" t="str">
        <f t="shared" si="10"/>
        <v>IVECO</v>
      </c>
      <c r="BS37" s="35" t="str">
        <f t="shared" si="11"/>
        <v>S-WAY</v>
      </c>
      <c r="BT37" s="35" t="str">
        <f t="shared" si="12"/>
        <v>AD260S40 G CF - FK 25I MT</v>
      </c>
      <c r="BU37" s="35">
        <f t="shared" si="13"/>
        <v>0</v>
      </c>
      <c r="BV37" s="4" t="s">
        <v>287</v>
      </c>
      <c r="BW37" s="5" t="s">
        <v>65</v>
      </c>
      <c r="BX37" s="35" t="str">
        <f t="shared" si="14"/>
        <v>H02</v>
      </c>
      <c r="BY37" s="44" t="str">
        <f t="shared" si="15"/>
        <v>FRFS_PF_Energie AlterAD260S40 G CF - FK 25I MTH02</v>
      </c>
      <c r="BZ37" s="48"/>
      <c r="CA37" s="35">
        <v>26000</v>
      </c>
      <c r="CB37" s="35">
        <v>26000</v>
      </c>
      <c r="CC37" s="35" t="e">
        <f>VLOOKUP(BY37,#REF!,20,0)</f>
        <v>#REF!</v>
      </c>
      <c r="CD37" s="48"/>
      <c r="CE37" s="36"/>
      <c r="CF37" s="36"/>
      <c r="CG37" s="36"/>
    </row>
    <row r="38" spans="1:85" ht="20.100000000000001" customHeight="1" x14ac:dyDescent="0.25">
      <c r="A38" s="4" t="s">
        <v>78</v>
      </c>
      <c r="B38" s="5" t="s">
        <v>255</v>
      </c>
      <c r="C38" s="5" t="s">
        <v>256</v>
      </c>
      <c r="D38" s="1"/>
      <c r="E38" s="4" t="s">
        <v>34</v>
      </c>
      <c r="F38" s="4" t="s">
        <v>227</v>
      </c>
      <c r="G38" s="4" t="s">
        <v>46</v>
      </c>
      <c r="H38" s="4"/>
      <c r="I38" s="4"/>
      <c r="J38" s="4"/>
      <c r="K38" s="4" t="s">
        <v>34</v>
      </c>
      <c r="L38" s="4"/>
      <c r="M38" s="4" t="s">
        <v>282</v>
      </c>
      <c r="N38" s="6" t="s">
        <v>64</v>
      </c>
      <c r="O38" s="4"/>
      <c r="P38" s="4"/>
      <c r="Q38" s="4"/>
      <c r="R38" s="4"/>
      <c r="S38" s="4">
        <v>3505</v>
      </c>
      <c r="T38" s="4">
        <v>2550</v>
      </c>
      <c r="U38" s="4">
        <v>6252</v>
      </c>
      <c r="V38" s="4"/>
      <c r="W38" s="4">
        <v>3790</v>
      </c>
      <c r="X38" s="4">
        <v>1052</v>
      </c>
      <c r="Y38" s="4"/>
      <c r="Z38" s="4"/>
      <c r="AA38" s="4" t="s">
        <v>283</v>
      </c>
      <c r="AB38" s="6">
        <v>19000</v>
      </c>
      <c r="AC38" s="30"/>
      <c r="AD38" s="6"/>
      <c r="AE38" s="6"/>
      <c r="AF38" s="6">
        <v>44000</v>
      </c>
      <c r="AG38" s="6">
        <v>7280</v>
      </c>
      <c r="AH38" s="4"/>
      <c r="AI38" s="4" t="s">
        <v>48</v>
      </c>
      <c r="AJ38" s="4" t="s">
        <v>96</v>
      </c>
      <c r="AK38" s="4" t="s">
        <v>49</v>
      </c>
      <c r="AL38" s="4"/>
      <c r="AM38" s="4"/>
      <c r="AN38" s="4"/>
      <c r="AO38" s="19" t="s">
        <v>93</v>
      </c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20" t="e">
        <f>IF(CONCATENATE(A38,B38,C38,D38,E38,F38,G38,H38,I38,J38,K38,L38,M38,N38,O38,P38,Q38,R38,S38,T38,U38,V38,W38,X38,Y38,Z38,AA38,AB38,AC38,AD38,AE38,AF38,AG38,AH38,AI38,AJ38,AK38,AL38,AM38,AN38,AO38,AP38,AQ38,AR38,AS38,AT38,AU38,AV38,AW38,AX38,AY38,AZ38,BA38,BB38,BC38,BD38,BE38,BF38,BG38,BH38,BI38,BJ38,BK38)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8" s="4" t="s">
        <v>252</v>
      </c>
      <c r="BN38" s="4" t="s">
        <v>100</v>
      </c>
      <c r="BO38" s="48"/>
      <c r="BP38" s="35" t="str">
        <f t="shared" si="8"/>
        <v>FR</v>
      </c>
      <c r="BQ38" s="35" t="str">
        <f t="shared" si="9"/>
        <v>FS_PF_Energie Alter</v>
      </c>
      <c r="BR38" s="35" t="str">
        <f t="shared" si="10"/>
        <v>IVECO</v>
      </c>
      <c r="BS38" s="35" t="str">
        <f t="shared" si="11"/>
        <v>S-WAY</v>
      </c>
      <c r="BT38" s="35" t="str">
        <f t="shared" si="12"/>
        <v>AT440S46 G TR</v>
      </c>
      <c r="BU38" s="35">
        <f t="shared" si="13"/>
        <v>0</v>
      </c>
      <c r="BV38" s="4" t="s">
        <v>282</v>
      </c>
      <c r="BW38" s="6" t="s">
        <v>64</v>
      </c>
      <c r="BX38" s="35" t="str">
        <f t="shared" si="14"/>
        <v>H01</v>
      </c>
      <c r="BY38" s="44" t="str">
        <f t="shared" si="15"/>
        <v>FRFS_PF_Energie AlterAT440S46 G TRH01</v>
      </c>
      <c r="BZ38" s="48"/>
      <c r="CA38" s="45">
        <v>19000</v>
      </c>
      <c r="CB38" s="45">
        <v>19000</v>
      </c>
      <c r="CC38" s="35" t="e">
        <f>VLOOKUP(BY38,#REF!,20,0)</f>
        <v>#REF!</v>
      </c>
      <c r="CD38" s="48"/>
      <c r="CE38" s="36"/>
      <c r="CF38" s="36"/>
      <c r="CG38" s="36"/>
    </row>
    <row r="39" spans="1:85" ht="20.100000000000001" customHeight="1" x14ac:dyDescent="0.25">
      <c r="A39" s="13" t="s">
        <v>78</v>
      </c>
      <c r="B39" s="5" t="s">
        <v>255</v>
      </c>
      <c r="C39" s="5" t="s">
        <v>256</v>
      </c>
      <c r="D39" s="1"/>
      <c r="E39" s="4" t="s">
        <v>50</v>
      </c>
      <c r="F39" s="4" t="s">
        <v>51</v>
      </c>
      <c r="G39" s="1" t="s">
        <v>44</v>
      </c>
      <c r="H39" s="13" t="s">
        <v>29</v>
      </c>
      <c r="I39" s="13" t="s">
        <v>7</v>
      </c>
      <c r="J39" s="13"/>
      <c r="K39" s="13" t="s">
        <v>30</v>
      </c>
      <c r="L39" s="13"/>
      <c r="M39" s="4" t="s">
        <v>294</v>
      </c>
      <c r="N39" s="6" t="s">
        <v>64</v>
      </c>
      <c r="O39" s="37">
        <v>8892</v>
      </c>
      <c r="P39" s="37">
        <v>2454</v>
      </c>
      <c r="Q39" s="37">
        <v>2400</v>
      </c>
      <c r="R39" s="13"/>
      <c r="S39" s="13">
        <v>3802</v>
      </c>
      <c r="T39" s="13">
        <v>2600</v>
      </c>
      <c r="U39" s="13">
        <v>11200</v>
      </c>
      <c r="V39" s="13">
        <v>1287</v>
      </c>
      <c r="W39" s="13">
        <v>6450</v>
      </c>
      <c r="X39" s="13">
        <v>3330</v>
      </c>
      <c r="Y39" s="13"/>
      <c r="Z39" s="1">
        <v>21</v>
      </c>
      <c r="AA39" s="13" t="s">
        <v>339</v>
      </c>
      <c r="AB39" s="13">
        <v>19000</v>
      </c>
      <c r="AC39" s="30" t="s">
        <v>47</v>
      </c>
      <c r="AD39" s="13"/>
      <c r="AE39" s="13"/>
      <c r="AF39" s="13"/>
      <c r="AG39" s="13"/>
      <c r="AH39" s="13" t="s">
        <v>170</v>
      </c>
      <c r="AI39" s="13" t="s">
        <v>99</v>
      </c>
      <c r="AJ39" s="37" t="s">
        <v>253</v>
      </c>
      <c r="AK39" s="13" t="s">
        <v>236</v>
      </c>
      <c r="AL39" s="4" t="s">
        <v>161</v>
      </c>
      <c r="AM39" s="13" t="s">
        <v>239</v>
      </c>
      <c r="AN39" s="4" t="s">
        <v>214</v>
      </c>
      <c r="AO39" s="21" t="s">
        <v>73</v>
      </c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20" t="e">
        <f>IF(CONCATENATE(A39,B39,C39,D39,E39,F39,G39,H39,I39,J39,K39,L39,M39,N39,O39,P39,Q39,R39,S39,T39,U39,V39,W39,X39,Y39,Z39,AA39,AB39,AC39,AD39,AE39,AF39,AG39,AH39,AI39,AJ39,AK39,AL39,AM39,AN39,AO39,AP39,AQ39,AR39,AS39,AT39,AU39,AV39,AW39,AX39,AY39,AZ39,BA39,BB39,BC39,BD39,BE39,BF39,BG39,BH39,BI39,BJ39,BK39)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9" s="38" t="s">
        <v>252</v>
      </c>
      <c r="BN39" s="8" t="s">
        <v>143</v>
      </c>
      <c r="BO39" s="48"/>
      <c r="BP39" s="35" t="str">
        <f t="shared" si="8"/>
        <v>FR</v>
      </c>
      <c r="BQ39" s="35" t="str">
        <f t="shared" si="9"/>
        <v>FS_PF_Energie Alter</v>
      </c>
      <c r="BR39" s="35" t="str">
        <f t="shared" si="10"/>
        <v>RENAULT</v>
      </c>
      <c r="BS39" s="35" t="str">
        <f t="shared" si="11"/>
        <v>GAMME D</v>
      </c>
      <c r="BT39" s="35" t="str">
        <f t="shared" si="12"/>
        <v>D19.320 G CF - 18 Pal - SUPRA 850 S</v>
      </c>
      <c r="BU39" s="35">
        <f t="shared" si="13"/>
        <v>0</v>
      </c>
      <c r="BV39" s="4" t="s">
        <v>294</v>
      </c>
      <c r="BW39" s="6" t="s">
        <v>64</v>
      </c>
      <c r="BX39" s="35" t="str">
        <f t="shared" si="14"/>
        <v>H01</v>
      </c>
      <c r="BY39" s="44" t="str">
        <f t="shared" si="15"/>
        <v>FRFS_PF_Energie AlterD19.320 G CF - 18 Pal - SUPRA 850 SH01</v>
      </c>
      <c r="BZ39" s="48"/>
      <c r="CA39" s="35">
        <v>19000</v>
      </c>
      <c r="CB39" s="35">
        <v>19000</v>
      </c>
      <c r="CC39" s="35" t="e">
        <f>VLOOKUP(BY39,#REF!,20,0)</f>
        <v>#REF!</v>
      </c>
      <c r="CD39" s="48"/>
      <c r="CE39" s="36" t="s">
        <v>47</v>
      </c>
      <c r="CF39" s="36" t="s">
        <v>47</v>
      </c>
      <c r="CG39" s="36"/>
    </row>
    <row r="40" spans="1:85" ht="20.100000000000001" customHeight="1" x14ac:dyDescent="0.25">
      <c r="A40" s="13" t="s">
        <v>78</v>
      </c>
      <c r="B40" s="5" t="s">
        <v>255</v>
      </c>
      <c r="C40" s="5" t="s">
        <v>256</v>
      </c>
      <c r="D40" s="1"/>
      <c r="E40" s="4" t="s">
        <v>50</v>
      </c>
      <c r="F40" s="4" t="s">
        <v>51</v>
      </c>
      <c r="G40" s="1" t="s">
        <v>44</v>
      </c>
      <c r="H40" s="13" t="s">
        <v>12</v>
      </c>
      <c r="I40" s="13" t="s">
        <v>7</v>
      </c>
      <c r="J40" s="13"/>
      <c r="K40" s="13" t="s">
        <v>30</v>
      </c>
      <c r="L40" s="13"/>
      <c r="M40" s="4" t="s">
        <v>295</v>
      </c>
      <c r="N40" s="5" t="s">
        <v>65</v>
      </c>
      <c r="O40" s="37">
        <v>8892</v>
      </c>
      <c r="P40" s="37">
        <v>2454</v>
      </c>
      <c r="Q40" s="37">
        <v>2400</v>
      </c>
      <c r="R40" s="13"/>
      <c r="S40" s="13">
        <v>3802</v>
      </c>
      <c r="T40" s="13">
        <v>2600</v>
      </c>
      <c r="U40" s="13">
        <v>11200</v>
      </c>
      <c r="V40" s="13">
        <v>1287</v>
      </c>
      <c r="W40" s="13">
        <v>6450</v>
      </c>
      <c r="X40" s="13">
        <v>3330</v>
      </c>
      <c r="Y40" s="13"/>
      <c r="Z40" s="1">
        <v>21</v>
      </c>
      <c r="AA40" s="13" t="s">
        <v>323</v>
      </c>
      <c r="AB40" s="13">
        <v>19000</v>
      </c>
      <c r="AC40" s="30" t="s">
        <v>47</v>
      </c>
      <c r="AD40" s="13"/>
      <c r="AE40" s="13"/>
      <c r="AF40" s="13"/>
      <c r="AG40" s="13"/>
      <c r="AH40" s="13" t="s">
        <v>170</v>
      </c>
      <c r="AI40" s="13" t="s">
        <v>99</v>
      </c>
      <c r="AJ40" s="37" t="s">
        <v>253</v>
      </c>
      <c r="AK40" s="13" t="s">
        <v>236</v>
      </c>
      <c r="AL40" s="4" t="s">
        <v>162</v>
      </c>
      <c r="AM40" s="13" t="s">
        <v>240</v>
      </c>
      <c r="AN40" s="4" t="s">
        <v>214</v>
      </c>
      <c r="AO40" s="21" t="s">
        <v>74</v>
      </c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20" t="e">
        <f>IF(CONCATENATE(A40,B40,C40,D40,E40,F40,G40,H40,I40,J40,K40,L40,M40,N40,O40,P40,Q40,R40,S40,T40,U40,V40,W40,X40,Y40,Z40,AA40,AB40,AC40,AD40,AE40,AF40,AG40,AH40,AI40,AJ40,AK40,AL40,AM40,AN40,AO40,AP40,AQ40,AR40,AS40,AT40,AU40,AV40,AW40,AX40,AY40,AZ40,BA40,BB40,BC40,BD40,BE40,BF40,BG40,BH40,BI40,BJ40,BK40)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0" s="38" t="s">
        <v>252</v>
      </c>
      <c r="BN40" s="8" t="s">
        <v>147</v>
      </c>
      <c r="BO40" s="48"/>
      <c r="BP40" s="35" t="str">
        <f t="shared" si="8"/>
        <v>FR</v>
      </c>
      <c r="BQ40" s="35" t="str">
        <f t="shared" si="9"/>
        <v>FS_PF_Energie Alter</v>
      </c>
      <c r="BR40" s="35" t="str">
        <f t="shared" si="10"/>
        <v>RENAULT</v>
      </c>
      <c r="BS40" s="35" t="str">
        <f t="shared" si="11"/>
        <v>GAMME D</v>
      </c>
      <c r="BT40" s="35" t="str">
        <f t="shared" si="12"/>
        <v>D19.320 G CF - 18 Pal - SUPRA 1150 S MT</v>
      </c>
      <c r="BU40" s="35">
        <f t="shared" si="13"/>
        <v>0</v>
      </c>
      <c r="BV40" s="4" t="s">
        <v>295</v>
      </c>
      <c r="BW40" s="5" t="s">
        <v>65</v>
      </c>
      <c r="BX40" s="35" t="str">
        <f t="shared" si="14"/>
        <v>H02</v>
      </c>
      <c r="BY40" s="44" t="str">
        <f t="shared" si="15"/>
        <v>FRFS_PF_Energie AlterD19.320 G CF - 18 Pal - SUPRA 1150 S MTH02</v>
      </c>
      <c r="BZ40" s="48"/>
      <c r="CA40" s="35">
        <v>19000</v>
      </c>
      <c r="CB40" s="35">
        <v>19000</v>
      </c>
      <c r="CC40" s="35" t="e">
        <f>VLOOKUP(BY40,#REF!,20,0)</f>
        <v>#REF!</v>
      </c>
      <c r="CD40" s="48"/>
      <c r="CE40" s="36" t="s">
        <v>47</v>
      </c>
      <c r="CF40" s="36" t="s">
        <v>47</v>
      </c>
      <c r="CG40" s="36"/>
    </row>
    <row r="41" spans="1:85" ht="20.100000000000001" customHeight="1" x14ac:dyDescent="0.25">
      <c r="A41" s="13" t="s">
        <v>78</v>
      </c>
      <c r="B41" s="5" t="s">
        <v>255</v>
      </c>
      <c r="C41" s="5" t="s">
        <v>256</v>
      </c>
      <c r="D41" s="1"/>
      <c r="E41" s="4" t="s">
        <v>50</v>
      </c>
      <c r="F41" s="4" t="s">
        <v>51</v>
      </c>
      <c r="G41" s="1" t="s">
        <v>44</v>
      </c>
      <c r="H41" s="13" t="s">
        <v>29</v>
      </c>
      <c r="I41" s="13" t="s">
        <v>7</v>
      </c>
      <c r="J41" s="13"/>
      <c r="K41" s="13" t="s">
        <v>30</v>
      </c>
      <c r="L41" s="13"/>
      <c r="M41" s="4" t="s">
        <v>296</v>
      </c>
      <c r="N41" s="6" t="s">
        <v>64</v>
      </c>
      <c r="O41" s="37">
        <v>8892</v>
      </c>
      <c r="P41" s="37">
        <v>2454</v>
      </c>
      <c r="Q41" s="37">
        <v>2400</v>
      </c>
      <c r="R41" s="13"/>
      <c r="S41" s="13">
        <v>3802</v>
      </c>
      <c r="T41" s="13">
        <v>2600</v>
      </c>
      <c r="U41" s="13">
        <v>11200</v>
      </c>
      <c r="V41" s="13">
        <v>1287</v>
      </c>
      <c r="W41" s="13">
        <v>6450</v>
      </c>
      <c r="X41" s="13">
        <v>3330</v>
      </c>
      <c r="Y41" s="13"/>
      <c r="Z41" s="1">
        <v>21</v>
      </c>
      <c r="AA41" s="13" t="s">
        <v>340</v>
      </c>
      <c r="AB41" s="13">
        <v>19000</v>
      </c>
      <c r="AC41" s="30" t="s">
        <v>47</v>
      </c>
      <c r="AD41" s="13"/>
      <c r="AE41" s="13"/>
      <c r="AF41" s="13"/>
      <c r="AG41" s="13"/>
      <c r="AH41" s="13" t="s">
        <v>170</v>
      </c>
      <c r="AI41" s="13" t="s">
        <v>99</v>
      </c>
      <c r="AJ41" s="37" t="s">
        <v>253</v>
      </c>
      <c r="AK41" s="13" t="s">
        <v>236</v>
      </c>
      <c r="AL41" s="4" t="s">
        <v>161</v>
      </c>
      <c r="AM41" s="13" t="s">
        <v>249</v>
      </c>
      <c r="AN41" s="4" t="s">
        <v>214</v>
      </c>
      <c r="AO41" s="21" t="s">
        <v>73</v>
      </c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20" t="e">
        <f>IF(CONCATENATE(A41,B41,C41,D41,E41,F41,G41,H41,I41,J41,K41,L41,M41,N41,O41,P41,Q41,R41,S41,T41,U41,V41,W41,X41,Y41,Z41,AA41,AB41,AC41,AD41,AE41,AF41,AG41,AH41,AI41,AJ41,AK41,AL41,AM41,AN41,AO41,AP41,AQ41,AR41,AS41,AT41,AU41,AV41,AW41,AX41,AY41,AZ41,BA41,BB41,BC41,BD41,BE41,BF41,BG41,BH41,BI41,BJ41,BK41)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1" s="38" t="s">
        <v>252</v>
      </c>
      <c r="BN41" s="8" t="s">
        <v>143</v>
      </c>
      <c r="BO41" s="48"/>
      <c r="BP41" s="35" t="str">
        <f t="shared" si="8"/>
        <v>FR</v>
      </c>
      <c r="BQ41" s="35" t="str">
        <f t="shared" si="9"/>
        <v>FS_PF_Energie Alter</v>
      </c>
      <c r="BR41" s="35" t="str">
        <f t="shared" si="10"/>
        <v>RENAULT</v>
      </c>
      <c r="BS41" s="35" t="str">
        <f t="shared" si="11"/>
        <v>GAMME D</v>
      </c>
      <c r="BT41" s="35" t="str">
        <f t="shared" si="12"/>
        <v>D19.320 G CF - 18 Pal - SUPRA GAZ</v>
      </c>
      <c r="BU41" s="35">
        <f t="shared" si="13"/>
        <v>0</v>
      </c>
      <c r="BV41" s="4" t="s">
        <v>296</v>
      </c>
      <c r="BW41" s="6" t="s">
        <v>64</v>
      </c>
      <c r="BX41" s="35" t="str">
        <f t="shared" si="14"/>
        <v>H01</v>
      </c>
      <c r="BY41" s="44" t="str">
        <f t="shared" si="15"/>
        <v>FRFS_PF_Energie AlterD19.320 G CF - 18 Pal - SUPRA GAZH01</v>
      </c>
      <c r="BZ41" s="48"/>
      <c r="CA41" s="35">
        <v>19000</v>
      </c>
      <c r="CB41" s="35">
        <v>19000</v>
      </c>
      <c r="CC41" s="35" t="e">
        <f>VLOOKUP(BY41,#REF!,20,0)</f>
        <v>#REF!</v>
      </c>
      <c r="CD41" s="48"/>
      <c r="CE41" s="36" t="s">
        <v>47</v>
      </c>
      <c r="CF41" s="36" t="s">
        <v>47</v>
      </c>
      <c r="CG41" s="36"/>
    </row>
    <row r="42" spans="1:85" ht="20.100000000000001" customHeight="1" x14ac:dyDescent="0.25">
      <c r="A42" s="13" t="s">
        <v>78</v>
      </c>
      <c r="B42" s="5" t="s">
        <v>255</v>
      </c>
      <c r="C42" s="5" t="s">
        <v>256</v>
      </c>
      <c r="D42" s="1"/>
      <c r="E42" s="4" t="s">
        <v>50</v>
      </c>
      <c r="F42" s="4" t="s">
        <v>51</v>
      </c>
      <c r="G42" s="1" t="s">
        <v>44</v>
      </c>
      <c r="H42" s="13" t="s">
        <v>12</v>
      </c>
      <c r="I42" s="13" t="s">
        <v>7</v>
      </c>
      <c r="J42" s="13"/>
      <c r="K42" s="13" t="s">
        <v>30</v>
      </c>
      <c r="L42" s="13"/>
      <c r="M42" s="4" t="s">
        <v>297</v>
      </c>
      <c r="N42" s="5" t="s">
        <v>65</v>
      </c>
      <c r="O42" s="37">
        <v>8892</v>
      </c>
      <c r="P42" s="37">
        <v>2454</v>
      </c>
      <c r="Q42" s="37">
        <v>2400</v>
      </c>
      <c r="R42" s="13"/>
      <c r="S42" s="13">
        <v>3802</v>
      </c>
      <c r="T42" s="13">
        <v>2600</v>
      </c>
      <c r="U42" s="13">
        <v>11200</v>
      </c>
      <c r="V42" s="13">
        <v>1287</v>
      </c>
      <c r="W42" s="13">
        <v>6450</v>
      </c>
      <c r="X42" s="13">
        <v>3330</v>
      </c>
      <c r="Y42" s="13"/>
      <c r="Z42" s="1">
        <v>21</v>
      </c>
      <c r="AA42" s="13" t="s">
        <v>324</v>
      </c>
      <c r="AB42" s="13">
        <v>19000</v>
      </c>
      <c r="AC42" s="30" t="s">
        <v>47</v>
      </c>
      <c r="AD42" s="13"/>
      <c r="AE42" s="13"/>
      <c r="AF42" s="13"/>
      <c r="AG42" s="13"/>
      <c r="AH42" s="13" t="s">
        <v>170</v>
      </c>
      <c r="AI42" s="13" t="s">
        <v>99</v>
      </c>
      <c r="AJ42" s="37" t="s">
        <v>253</v>
      </c>
      <c r="AK42" s="13" t="s">
        <v>236</v>
      </c>
      <c r="AL42" s="4" t="s">
        <v>162</v>
      </c>
      <c r="AM42" s="13" t="s">
        <v>248</v>
      </c>
      <c r="AN42" s="4" t="s">
        <v>214</v>
      </c>
      <c r="AO42" s="21" t="s">
        <v>74</v>
      </c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20" t="e">
        <f>IF(CONCATENATE(A42,B42,C42,D42,E42,F42,G42,H42,I42,J42,K42,L42,M42,N42,O42,P42,Q42,R42,S42,T42,U42,V42,W42,X42,Y42,Z42,AA42,AB42,AC42,AD42,AE42,AF42,AG42,AH42,AI42,AJ42,AK42,AL42,AM42,AN42,AO42,AP42,AQ42,AR42,AS42,AT42,AU42,AV42,AW42,AX42,AY42,AZ42,BA42,BB42,BC42,BD42,BE42,BF42,BG42,BH42,BI42,BJ42,BK42)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2" s="38" t="s">
        <v>252</v>
      </c>
      <c r="BN42" s="8" t="s">
        <v>147</v>
      </c>
      <c r="BO42" s="48"/>
      <c r="BP42" s="35" t="str">
        <f t="shared" si="8"/>
        <v>FR</v>
      </c>
      <c r="BQ42" s="35" t="str">
        <f t="shared" si="9"/>
        <v>FS_PF_Energie Alter</v>
      </c>
      <c r="BR42" s="35" t="str">
        <f t="shared" si="10"/>
        <v>RENAULT</v>
      </c>
      <c r="BS42" s="35" t="str">
        <f t="shared" si="11"/>
        <v>GAMME D</v>
      </c>
      <c r="BT42" s="35" t="str">
        <f t="shared" si="12"/>
        <v>D19.320 G CF - 18 Pal - SUPRA GAZ MT</v>
      </c>
      <c r="BU42" s="35">
        <f t="shared" si="13"/>
        <v>0</v>
      </c>
      <c r="BV42" s="4" t="s">
        <v>297</v>
      </c>
      <c r="BW42" s="5" t="s">
        <v>65</v>
      </c>
      <c r="BX42" s="35" t="str">
        <f t="shared" si="14"/>
        <v>H02</v>
      </c>
      <c r="BY42" s="44" t="str">
        <f t="shared" si="15"/>
        <v>FRFS_PF_Energie AlterD19.320 G CF - 18 Pal - SUPRA GAZ MTH02</v>
      </c>
      <c r="BZ42" s="48"/>
      <c r="CA42" s="35">
        <v>19000</v>
      </c>
      <c r="CB42" s="35">
        <v>19000</v>
      </c>
      <c r="CC42" s="35" t="e">
        <f>VLOOKUP(BY42,#REF!,20,0)</f>
        <v>#REF!</v>
      </c>
      <c r="CD42" s="48"/>
      <c r="CE42" s="36" t="s">
        <v>47</v>
      </c>
      <c r="CF42" s="36" t="s">
        <v>47</v>
      </c>
      <c r="CG42" s="36"/>
    </row>
    <row r="43" spans="1:85" ht="20.100000000000001" customHeight="1" x14ac:dyDescent="0.25">
      <c r="A43" s="13" t="s">
        <v>78</v>
      </c>
      <c r="B43" s="5" t="s">
        <v>255</v>
      </c>
      <c r="C43" s="5" t="s">
        <v>256</v>
      </c>
      <c r="D43" s="1"/>
      <c r="E43" s="4" t="s">
        <v>50</v>
      </c>
      <c r="F43" s="4" t="s">
        <v>51</v>
      </c>
      <c r="G43" s="1" t="s">
        <v>44</v>
      </c>
      <c r="H43" s="13" t="s">
        <v>29</v>
      </c>
      <c r="I43" s="13" t="s">
        <v>7</v>
      </c>
      <c r="J43" s="13"/>
      <c r="K43" s="13" t="s">
        <v>30</v>
      </c>
      <c r="L43" s="13"/>
      <c r="M43" s="4" t="s">
        <v>308</v>
      </c>
      <c r="N43" s="6" t="s">
        <v>64</v>
      </c>
      <c r="O43" s="37">
        <v>8892</v>
      </c>
      <c r="P43" s="37">
        <v>2454</v>
      </c>
      <c r="Q43" s="37">
        <v>2400</v>
      </c>
      <c r="R43" s="13"/>
      <c r="S43" s="13">
        <v>3802</v>
      </c>
      <c r="T43" s="13">
        <v>2600</v>
      </c>
      <c r="U43" s="13">
        <v>11200</v>
      </c>
      <c r="V43" s="13">
        <v>1287</v>
      </c>
      <c r="W43" s="13">
        <v>6450</v>
      </c>
      <c r="X43" s="13">
        <v>3330</v>
      </c>
      <c r="Y43" s="13"/>
      <c r="Z43" s="1">
        <v>21</v>
      </c>
      <c r="AA43" s="13" t="s">
        <v>348</v>
      </c>
      <c r="AB43" s="13">
        <v>19000</v>
      </c>
      <c r="AC43" s="30" t="s">
        <v>47</v>
      </c>
      <c r="AD43" s="13"/>
      <c r="AE43" s="13"/>
      <c r="AF43" s="13"/>
      <c r="AG43" s="13"/>
      <c r="AH43" s="13" t="s">
        <v>170</v>
      </c>
      <c r="AI43" s="13" t="s">
        <v>99</v>
      </c>
      <c r="AJ43" s="37" t="s">
        <v>253</v>
      </c>
      <c r="AK43" s="13" t="s">
        <v>236</v>
      </c>
      <c r="AL43" s="4" t="s">
        <v>161</v>
      </c>
      <c r="AM43" s="13" t="s">
        <v>354</v>
      </c>
      <c r="AN43" s="4" t="s">
        <v>214</v>
      </c>
      <c r="AO43" s="21" t="s">
        <v>73</v>
      </c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20" t="e">
        <f>IF(CONCATENATE(A43,B43,C43,D43,E43,F43,G43,H43,I43,J43,K43,L43,M43,N43,O43,P43,Q43,R43,S43,T43,U43,V43,W43,X43,Y43,Z43,AA43,AB43,AC43,AD43,AE43,AF43,AG43,AH43,AI43,AJ43,AK43,AL43,AM43,AN43,AO43,AP43,AQ43,AR43,AS43,AT43,AU43,AV43,AW43,AX43,AY43,AZ43,BA43,BB43,BC43,BD43,BE43,BF43,BG43,BH43,BI43,BJ43,BK43)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3" s="38" t="s">
        <v>252</v>
      </c>
      <c r="BN43" s="8" t="s">
        <v>143</v>
      </c>
      <c r="BO43" s="48"/>
      <c r="BP43" s="35" t="str">
        <f t="shared" si="8"/>
        <v>FR</v>
      </c>
      <c r="BQ43" s="35" t="str">
        <f t="shared" si="9"/>
        <v>FS_PF_Energie Alter</v>
      </c>
      <c r="BR43" s="35" t="str">
        <f t="shared" si="10"/>
        <v>RENAULT</v>
      </c>
      <c r="BS43" s="35" t="str">
        <f t="shared" si="11"/>
        <v>GAMME D</v>
      </c>
      <c r="BT43" s="35" t="str">
        <f t="shared" si="12"/>
        <v>D19.320 G CF - 18 Pal - CARRIER SYBERIA</v>
      </c>
      <c r="BU43" s="35">
        <f t="shared" si="13"/>
        <v>0</v>
      </c>
      <c r="BV43" s="4" t="s">
        <v>308</v>
      </c>
      <c r="BW43" s="6" t="s">
        <v>64</v>
      </c>
      <c r="BX43" s="35" t="str">
        <f t="shared" si="14"/>
        <v>H01</v>
      </c>
      <c r="BY43" s="44" t="str">
        <f t="shared" si="15"/>
        <v>FRFS_PF_Energie AlterD19.320 G CF - 18 Pal - CARRIER SYBERIAH01</v>
      </c>
      <c r="BZ43" s="48"/>
      <c r="CA43" s="35">
        <v>19000</v>
      </c>
      <c r="CB43" s="35">
        <v>19000</v>
      </c>
      <c r="CC43" s="35" t="e">
        <f>VLOOKUP(BY43,#REF!,20,0)</f>
        <v>#REF!</v>
      </c>
      <c r="CD43" s="48"/>
      <c r="CE43" s="36" t="s">
        <v>47</v>
      </c>
      <c r="CF43" s="36" t="s">
        <v>47</v>
      </c>
      <c r="CG43" s="36"/>
    </row>
    <row r="44" spans="1:85" ht="20.100000000000001" customHeight="1" x14ac:dyDescent="0.25">
      <c r="A44" s="13" t="s">
        <v>78</v>
      </c>
      <c r="B44" s="5" t="s">
        <v>255</v>
      </c>
      <c r="C44" s="5" t="s">
        <v>256</v>
      </c>
      <c r="D44" s="1"/>
      <c r="E44" s="4" t="s">
        <v>50</v>
      </c>
      <c r="F44" s="4" t="s">
        <v>51</v>
      </c>
      <c r="G44" s="1" t="s">
        <v>44</v>
      </c>
      <c r="H44" s="13" t="s">
        <v>12</v>
      </c>
      <c r="I44" s="13" t="s">
        <v>7</v>
      </c>
      <c r="J44" s="13"/>
      <c r="K44" s="13" t="s">
        <v>30</v>
      </c>
      <c r="L44" s="13"/>
      <c r="M44" s="4" t="s">
        <v>309</v>
      </c>
      <c r="N44" s="5" t="s">
        <v>65</v>
      </c>
      <c r="O44" s="37">
        <v>8892</v>
      </c>
      <c r="P44" s="37">
        <v>2454</v>
      </c>
      <c r="Q44" s="37">
        <v>2400</v>
      </c>
      <c r="R44" s="13"/>
      <c r="S44" s="13">
        <v>3802</v>
      </c>
      <c r="T44" s="13">
        <v>2600</v>
      </c>
      <c r="U44" s="13">
        <v>11200</v>
      </c>
      <c r="V44" s="13">
        <v>1287</v>
      </c>
      <c r="W44" s="13">
        <v>6450</v>
      </c>
      <c r="X44" s="13">
        <v>3330</v>
      </c>
      <c r="Y44" s="13"/>
      <c r="Z44" s="1">
        <v>21</v>
      </c>
      <c r="AA44" s="13" t="s">
        <v>349</v>
      </c>
      <c r="AB44" s="13">
        <v>19000</v>
      </c>
      <c r="AC44" s="30" t="s">
        <v>47</v>
      </c>
      <c r="AD44" s="13"/>
      <c r="AE44" s="13"/>
      <c r="AF44" s="13"/>
      <c r="AG44" s="13"/>
      <c r="AH44" s="13" t="s">
        <v>170</v>
      </c>
      <c r="AI44" s="13" t="s">
        <v>99</v>
      </c>
      <c r="AJ44" s="37" t="s">
        <v>253</v>
      </c>
      <c r="AK44" s="13" t="s">
        <v>236</v>
      </c>
      <c r="AL44" s="4" t="s">
        <v>162</v>
      </c>
      <c r="AM44" s="13" t="s">
        <v>355</v>
      </c>
      <c r="AN44" s="4" t="s">
        <v>214</v>
      </c>
      <c r="AO44" s="21" t="s">
        <v>74</v>
      </c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20" t="e">
        <f>IF(CONCATENATE(A44,B44,C44,D44,E44,F44,G44,H44,I44,J44,K44,L44,M44,N44,O44,P44,Q44,R44,S44,T44,U44,V44,W44,X44,Y44,Z44,AA44,AB44,AC44,AD44,AE44,AF44,AG44,AH44,AI44,AJ44,AK44,AL44,AM44,AN44,AO44,AP44,AQ44,AR44,AS44,AT44,AU44,AV44,AW44,AX44,AY44,AZ44,BA44,BB44,BC44,BD44,BE44,BF44,BG44,BH44,BI44,BJ44,BK44)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4" s="38" t="s">
        <v>252</v>
      </c>
      <c r="BN44" s="8" t="s">
        <v>147</v>
      </c>
      <c r="BO44" s="48"/>
      <c r="BP44" s="35" t="str">
        <f t="shared" si="8"/>
        <v>FR</v>
      </c>
      <c r="BQ44" s="35" t="str">
        <f t="shared" si="9"/>
        <v>FS_PF_Energie Alter</v>
      </c>
      <c r="BR44" s="35" t="str">
        <f t="shared" si="10"/>
        <v>RENAULT</v>
      </c>
      <c r="BS44" s="35" t="str">
        <f t="shared" si="11"/>
        <v>GAMME D</v>
      </c>
      <c r="BT44" s="35" t="str">
        <f t="shared" si="12"/>
        <v>D19.320 G CF - 18 Pal - CARRIER SYBERIA MT</v>
      </c>
      <c r="BU44" s="35">
        <f t="shared" si="13"/>
        <v>0</v>
      </c>
      <c r="BV44" s="4" t="s">
        <v>309</v>
      </c>
      <c r="BW44" s="5" t="s">
        <v>65</v>
      </c>
      <c r="BX44" s="35" t="str">
        <f t="shared" si="14"/>
        <v>H02</v>
      </c>
      <c r="BY44" s="44" t="str">
        <f t="shared" si="15"/>
        <v>FRFS_PF_Energie AlterD19.320 G CF - 18 Pal - CARRIER SYBERIA MTH02</v>
      </c>
      <c r="BZ44" s="48"/>
      <c r="CA44" s="35">
        <v>19000</v>
      </c>
      <c r="CB44" s="35">
        <v>19000</v>
      </c>
      <c r="CC44" s="35" t="e">
        <f>VLOOKUP(BY44,#REF!,20,0)</f>
        <v>#REF!</v>
      </c>
      <c r="CD44" s="48"/>
      <c r="CE44" s="36" t="s">
        <v>47</v>
      </c>
      <c r="CF44" s="36" t="s">
        <v>47</v>
      </c>
      <c r="CG44" s="36"/>
    </row>
    <row r="45" spans="1:85" ht="20.100000000000001" customHeight="1" x14ac:dyDescent="0.25">
      <c r="A45" s="13" t="s">
        <v>78</v>
      </c>
      <c r="B45" s="5" t="s">
        <v>255</v>
      </c>
      <c r="C45" s="5" t="s">
        <v>256</v>
      </c>
      <c r="D45" s="1"/>
      <c r="E45" s="4" t="s">
        <v>50</v>
      </c>
      <c r="F45" s="4" t="s">
        <v>51</v>
      </c>
      <c r="G45" s="1" t="s">
        <v>44</v>
      </c>
      <c r="H45" s="13" t="s">
        <v>29</v>
      </c>
      <c r="I45" s="13" t="s">
        <v>7</v>
      </c>
      <c r="J45" s="13"/>
      <c r="K45" s="13" t="s">
        <v>30</v>
      </c>
      <c r="L45" s="13"/>
      <c r="M45" s="4" t="s">
        <v>298</v>
      </c>
      <c r="N45" s="6" t="s">
        <v>64</v>
      </c>
      <c r="O45" s="37">
        <v>8892</v>
      </c>
      <c r="P45" s="37">
        <v>2454</v>
      </c>
      <c r="Q45" s="37">
        <v>2400</v>
      </c>
      <c r="R45" s="13"/>
      <c r="S45" s="13">
        <v>3802</v>
      </c>
      <c r="T45" s="13">
        <v>2600</v>
      </c>
      <c r="U45" s="13">
        <v>11200</v>
      </c>
      <c r="V45" s="13">
        <v>1287</v>
      </c>
      <c r="W45" s="13">
        <v>6450</v>
      </c>
      <c r="X45" s="13">
        <v>3330</v>
      </c>
      <c r="Y45" s="13"/>
      <c r="Z45" s="1">
        <v>21</v>
      </c>
      <c r="AA45" s="13" t="s">
        <v>341</v>
      </c>
      <c r="AB45" s="13">
        <v>19000</v>
      </c>
      <c r="AC45" s="30" t="s">
        <v>47</v>
      </c>
      <c r="AD45" s="13"/>
      <c r="AE45" s="13"/>
      <c r="AF45" s="13"/>
      <c r="AG45" s="13"/>
      <c r="AH45" s="13" t="s">
        <v>170</v>
      </c>
      <c r="AI45" s="13" t="s">
        <v>99</v>
      </c>
      <c r="AJ45" s="37" t="s">
        <v>253</v>
      </c>
      <c r="AK45" s="13" t="s">
        <v>236</v>
      </c>
      <c r="AL45" s="4" t="s">
        <v>161</v>
      </c>
      <c r="AM45" s="13" t="s">
        <v>250</v>
      </c>
      <c r="AN45" s="4" t="s">
        <v>214</v>
      </c>
      <c r="AO45" s="21" t="s">
        <v>73</v>
      </c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20" t="e">
        <f>IF(CONCATENATE(A45,B45,C45,D45,E45,F45,G45,H45,I45,J45,K45,L45,M45,N45,O45,P45,Q45,R45,S45,T45,U45,V45,W45,X45,Y45,Z45,AA45,AB45,AC45,AD45,AE45,AF45,AG45,AH45,AI45,AJ45,AK45,AL45,AM45,AN45,AO45,AP45,AQ45,AR45,AS45,AT45,AU45,AV45,AW45,AX45,AY45,AZ45,BA45,BB45,BC45,BD45,BE45,BF45,BG45,BH45,BI45,BJ45,BK45)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5" s="38" t="s">
        <v>252</v>
      </c>
      <c r="BN45" s="8" t="s">
        <v>143</v>
      </c>
      <c r="BO45" s="48"/>
      <c r="BP45" s="35" t="str">
        <f t="shared" si="8"/>
        <v>FR</v>
      </c>
      <c r="BQ45" s="35" t="str">
        <f t="shared" si="9"/>
        <v>FS_PF_Energie Alter</v>
      </c>
      <c r="BR45" s="35" t="str">
        <f t="shared" si="10"/>
        <v>RENAULT</v>
      </c>
      <c r="BS45" s="35" t="str">
        <f t="shared" si="11"/>
        <v>GAMME D</v>
      </c>
      <c r="BT45" s="35" t="str">
        <f t="shared" si="12"/>
        <v>D19.320 G CF - 18 Pal - FK 25</v>
      </c>
      <c r="BU45" s="35">
        <f t="shared" si="13"/>
        <v>0</v>
      </c>
      <c r="BV45" s="4" t="s">
        <v>298</v>
      </c>
      <c r="BW45" s="6" t="s">
        <v>64</v>
      </c>
      <c r="BX45" s="35" t="str">
        <f t="shared" si="14"/>
        <v>H01</v>
      </c>
      <c r="BY45" s="44" t="str">
        <f t="shared" si="15"/>
        <v>FRFS_PF_Energie AlterD19.320 G CF - 18 Pal - FK 25H01</v>
      </c>
      <c r="BZ45" s="48"/>
      <c r="CA45" s="35">
        <v>19000</v>
      </c>
      <c r="CB45" s="35">
        <v>19000</v>
      </c>
      <c r="CC45" s="35" t="e">
        <f>VLOOKUP(BY45,#REF!,20,0)</f>
        <v>#REF!</v>
      </c>
      <c r="CD45" s="48"/>
      <c r="CE45" s="36" t="s">
        <v>47</v>
      </c>
      <c r="CF45" s="36" t="s">
        <v>47</v>
      </c>
      <c r="CG45" s="36"/>
    </row>
    <row r="46" spans="1:85" ht="20.100000000000001" customHeight="1" x14ac:dyDescent="0.25">
      <c r="A46" s="13" t="s">
        <v>78</v>
      </c>
      <c r="B46" s="5" t="s">
        <v>255</v>
      </c>
      <c r="C46" s="5" t="s">
        <v>256</v>
      </c>
      <c r="D46" s="1"/>
      <c r="E46" s="4" t="s">
        <v>50</v>
      </c>
      <c r="F46" s="4" t="s">
        <v>51</v>
      </c>
      <c r="G46" s="1" t="s">
        <v>44</v>
      </c>
      <c r="H46" s="13" t="s">
        <v>12</v>
      </c>
      <c r="I46" s="13" t="s">
        <v>7</v>
      </c>
      <c r="J46" s="13"/>
      <c r="K46" s="13" t="s">
        <v>30</v>
      </c>
      <c r="L46" s="13"/>
      <c r="M46" s="4" t="s">
        <v>299</v>
      </c>
      <c r="N46" s="5" t="s">
        <v>65</v>
      </c>
      <c r="O46" s="37">
        <v>8892</v>
      </c>
      <c r="P46" s="37">
        <v>2454</v>
      </c>
      <c r="Q46" s="37">
        <v>2400</v>
      </c>
      <c r="R46" s="13"/>
      <c r="S46" s="13">
        <v>3802</v>
      </c>
      <c r="T46" s="13">
        <v>2600</v>
      </c>
      <c r="U46" s="13">
        <v>11200</v>
      </c>
      <c r="V46" s="13">
        <v>1287</v>
      </c>
      <c r="W46" s="13">
        <v>6450</v>
      </c>
      <c r="X46" s="13">
        <v>3330</v>
      </c>
      <c r="Y46" s="13"/>
      <c r="Z46" s="1">
        <v>21</v>
      </c>
      <c r="AA46" s="13" t="s">
        <v>325</v>
      </c>
      <c r="AB46" s="13">
        <v>19000</v>
      </c>
      <c r="AC46" s="30" t="s">
        <v>47</v>
      </c>
      <c r="AD46" s="13"/>
      <c r="AE46" s="13"/>
      <c r="AF46" s="13"/>
      <c r="AG46" s="13"/>
      <c r="AH46" s="13" t="s">
        <v>170</v>
      </c>
      <c r="AI46" s="13" t="s">
        <v>99</v>
      </c>
      <c r="AJ46" s="37" t="s">
        <v>253</v>
      </c>
      <c r="AK46" s="13" t="s">
        <v>236</v>
      </c>
      <c r="AL46" s="4" t="s">
        <v>162</v>
      </c>
      <c r="AM46" s="13" t="s">
        <v>251</v>
      </c>
      <c r="AN46" s="4" t="s">
        <v>214</v>
      </c>
      <c r="AO46" s="21" t="s">
        <v>74</v>
      </c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20" t="e">
        <f>IF(CONCATENATE(A46,B46,C46,D46,E46,F46,G46,H46,I46,J46,K46,L46,M46,N46,O46,P46,Q46,R46,S46,T46,U46,V46,W46,X46,Y46,Z46,AA46,AB46,AC46,AD46,AE46,AF46,AG46,AH46,AI46,AJ46,AK46,AL46,AM46,AN46,AO46,AP46,AQ46,AR46,AS46,AT46,AU46,AV46,AW46,AX46,AY46,AZ46,BA46,BB46,BC46,BD46,BE46,BF46,BG46,BH46,BI46,BJ46,BK46)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6" s="38" t="s">
        <v>252</v>
      </c>
      <c r="BN46" s="8" t="s">
        <v>147</v>
      </c>
      <c r="BO46" s="48"/>
      <c r="BP46" s="35" t="str">
        <f t="shared" si="8"/>
        <v>FR</v>
      </c>
      <c r="BQ46" s="35" t="str">
        <f t="shared" si="9"/>
        <v>FS_PF_Energie Alter</v>
      </c>
      <c r="BR46" s="35" t="str">
        <f t="shared" si="10"/>
        <v>RENAULT</v>
      </c>
      <c r="BS46" s="35" t="str">
        <f t="shared" si="11"/>
        <v>GAMME D</v>
      </c>
      <c r="BT46" s="35" t="str">
        <f t="shared" si="12"/>
        <v>D19.320 G CF - 18 Pal - FK 25I MT</v>
      </c>
      <c r="BU46" s="35">
        <f t="shared" si="13"/>
        <v>0</v>
      </c>
      <c r="BV46" s="4" t="s">
        <v>299</v>
      </c>
      <c r="BW46" s="5" t="s">
        <v>65</v>
      </c>
      <c r="BX46" s="35" t="str">
        <f t="shared" si="14"/>
        <v>H02</v>
      </c>
      <c r="BY46" s="44" t="str">
        <f t="shared" si="15"/>
        <v>FRFS_PF_Energie AlterD19.320 G CF - 18 Pal - FK 25I MTH02</v>
      </c>
      <c r="BZ46" s="48"/>
      <c r="CA46" s="35">
        <v>19000</v>
      </c>
      <c r="CB46" s="35">
        <v>19000</v>
      </c>
      <c r="CC46" s="35" t="e">
        <f>VLOOKUP(BY46,#REF!,20,0)</f>
        <v>#REF!</v>
      </c>
      <c r="CD46" s="48"/>
      <c r="CE46" s="36" t="s">
        <v>47</v>
      </c>
      <c r="CF46" s="36" t="s">
        <v>47</v>
      </c>
      <c r="CG46" s="36"/>
    </row>
    <row r="47" spans="1:85" ht="20.100000000000001" customHeight="1" x14ac:dyDescent="0.25">
      <c r="A47" s="13" t="s">
        <v>78</v>
      </c>
      <c r="B47" s="5" t="s">
        <v>255</v>
      </c>
      <c r="C47" s="5" t="s">
        <v>256</v>
      </c>
      <c r="D47" s="1"/>
      <c r="E47" s="4" t="s">
        <v>50</v>
      </c>
      <c r="F47" s="4" t="s">
        <v>51</v>
      </c>
      <c r="G47" s="1" t="s">
        <v>44</v>
      </c>
      <c r="H47" s="13" t="s">
        <v>29</v>
      </c>
      <c r="I47" s="13" t="s">
        <v>7</v>
      </c>
      <c r="J47" s="13"/>
      <c r="K47" s="13" t="s">
        <v>30</v>
      </c>
      <c r="L47" s="13"/>
      <c r="M47" s="4" t="s">
        <v>300</v>
      </c>
      <c r="N47" s="6" t="s">
        <v>64</v>
      </c>
      <c r="O47" s="37">
        <v>8892</v>
      </c>
      <c r="P47" s="37">
        <v>2454</v>
      </c>
      <c r="Q47" s="37">
        <v>2400</v>
      </c>
      <c r="R47" s="13"/>
      <c r="S47" s="13">
        <v>3802</v>
      </c>
      <c r="T47" s="13">
        <v>2600</v>
      </c>
      <c r="U47" s="13">
        <v>11200</v>
      </c>
      <c r="V47" s="13">
        <v>1287</v>
      </c>
      <c r="W47" s="13">
        <v>6450</v>
      </c>
      <c r="X47" s="13">
        <v>3330</v>
      </c>
      <c r="Y47" s="13"/>
      <c r="Z47" s="1">
        <v>21</v>
      </c>
      <c r="AA47" s="13" t="s">
        <v>342</v>
      </c>
      <c r="AB47" s="13">
        <v>19000</v>
      </c>
      <c r="AC47" s="30" t="s">
        <v>47</v>
      </c>
      <c r="AD47" s="13"/>
      <c r="AE47" s="13"/>
      <c r="AF47" s="13"/>
      <c r="AG47" s="13"/>
      <c r="AH47" s="13" t="s">
        <v>170</v>
      </c>
      <c r="AI47" s="13" t="s">
        <v>99</v>
      </c>
      <c r="AJ47" s="37" t="s">
        <v>253</v>
      </c>
      <c r="AK47" s="13" t="s">
        <v>236</v>
      </c>
      <c r="AL47" s="4" t="s">
        <v>161</v>
      </c>
      <c r="AM47" s="13" t="s">
        <v>249</v>
      </c>
      <c r="AN47" s="4" t="s">
        <v>214</v>
      </c>
      <c r="AO47" s="21" t="s">
        <v>73</v>
      </c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20" t="e">
        <f>IF(CONCATENATE(A47,B47,C47,D47,E47,F47,G47,H47,I47,J47,K47,L47,M47,N47,O47,P47,Q47,R47,S47,T47,U47,V47,W47,X47,Y47,Z47,AA47,AB47,AC47,AD47,AE47,AF47,AG47,AH47,AI47,AJ47,AK47,AL47,AM47,AN47,AO47,AP47,AQ47,AR47,AS47,AT47,AU47,AV47,AW47,AX47,AY47,AZ47,BA47,BB47,BC47,BD47,BE47,BF47,BG47,BH47,BI47,BJ47,BK47)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7" s="38" t="s">
        <v>252</v>
      </c>
      <c r="BN47" s="8" t="s">
        <v>143</v>
      </c>
      <c r="BO47" s="48"/>
      <c r="BP47" s="35" t="str">
        <f t="shared" si="8"/>
        <v>FR</v>
      </c>
      <c r="BQ47" s="35" t="str">
        <f t="shared" si="9"/>
        <v>FS_PF_Energie Alter</v>
      </c>
      <c r="BR47" s="35" t="str">
        <f t="shared" si="10"/>
        <v>RENAULT</v>
      </c>
      <c r="BS47" s="35" t="str">
        <f t="shared" si="11"/>
        <v>GAMME D</v>
      </c>
      <c r="BT47" s="35" t="str">
        <f t="shared" si="12"/>
        <v>D19.320 G CF - SUPRA GAZ</v>
      </c>
      <c r="BU47" s="35">
        <f t="shared" si="13"/>
        <v>0</v>
      </c>
      <c r="BV47" s="4" t="s">
        <v>300</v>
      </c>
      <c r="BW47" s="6" t="s">
        <v>64</v>
      </c>
      <c r="BX47" s="35" t="str">
        <f t="shared" si="14"/>
        <v>H01</v>
      </c>
      <c r="BY47" s="44" t="str">
        <f t="shared" si="15"/>
        <v>FRFS_PF_Energie AlterD19.320 G CF - SUPRA GAZH01</v>
      </c>
      <c r="BZ47" s="48"/>
      <c r="CA47" s="35">
        <v>19000</v>
      </c>
      <c r="CB47" s="35">
        <v>19000</v>
      </c>
      <c r="CC47" s="35" t="e">
        <f>VLOOKUP(BY47,#REF!,20,0)</f>
        <v>#REF!</v>
      </c>
      <c r="CD47" s="48"/>
      <c r="CE47" s="36" t="s">
        <v>47</v>
      </c>
      <c r="CF47" s="36" t="s">
        <v>47</v>
      </c>
      <c r="CG47" s="36"/>
    </row>
    <row r="48" spans="1:85" ht="20.100000000000001" customHeight="1" x14ac:dyDescent="0.25">
      <c r="A48" s="13" t="s">
        <v>78</v>
      </c>
      <c r="B48" s="5" t="s">
        <v>255</v>
      </c>
      <c r="C48" s="5" t="s">
        <v>256</v>
      </c>
      <c r="D48" s="1"/>
      <c r="E48" s="4" t="s">
        <v>50</v>
      </c>
      <c r="F48" s="4" t="s">
        <v>51</v>
      </c>
      <c r="G48" s="1" t="s">
        <v>44</v>
      </c>
      <c r="H48" s="13" t="s">
        <v>12</v>
      </c>
      <c r="I48" s="13" t="s">
        <v>7</v>
      </c>
      <c r="J48" s="13"/>
      <c r="K48" s="13" t="s">
        <v>30</v>
      </c>
      <c r="L48" s="13"/>
      <c r="M48" s="4" t="s">
        <v>301</v>
      </c>
      <c r="N48" s="5" t="s">
        <v>65</v>
      </c>
      <c r="O48" s="37">
        <v>8892</v>
      </c>
      <c r="P48" s="37">
        <v>2454</v>
      </c>
      <c r="Q48" s="37">
        <v>2400</v>
      </c>
      <c r="R48" s="13"/>
      <c r="S48" s="13">
        <v>3802</v>
      </c>
      <c r="T48" s="13">
        <v>2600</v>
      </c>
      <c r="U48" s="13">
        <v>11200</v>
      </c>
      <c r="V48" s="13">
        <v>1287</v>
      </c>
      <c r="W48" s="13">
        <v>6450</v>
      </c>
      <c r="X48" s="13">
        <v>3330</v>
      </c>
      <c r="Y48" s="13"/>
      <c r="Z48" s="1">
        <v>21</v>
      </c>
      <c r="AA48" s="13" t="s">
        <v>326</v>
      </c>
      <c r="AB48" s="13">
        <v>19000</v>
      </c>
      <c r="AC48" s="30" t="s">
        <v>47</v>
      </c>
      <c r="AD48" s="13"/>
      <c r="AE48" s="13"/>
      <c r="AF48" s="13"/>
      <c r="AG48" s="13"/>
      <c r="AH48" s="13" t="s">
        <v>170</v>
      </c>
      <c r="AI48" s="13" t="s">
        <v>99</v>
      </c>
      <c r="AJ48" s="37" t="s">
        <v>253</v>
      </c>
      <c r="AK48" s="13" t="s">
        <v>236</v>
      </c>
      <c r="AL48" s="4" t="s">
        <v>162</v>
      </c>
      <c r="AM48" s="13" t="s">
        <v>248</v>
      </c>
      <c r="AN48" s="4" t="s">
        <v>214</v>
      </c>
      <c r="AO48" s="21" t="s">
        <v>74</v>
      </c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20" t="e">
        <f>IF(CONCATENATE(A48,B48,C48,D48,E48,F48,G48,H48,I48,J48,K48,L48,M48,N48,O48,P48,Q48,R48,S48,T48,U48,V48,W48,X48,Y48,Z48,AA48,AB48,AC48,AD48,AE48,AF48,AG48,AH48,AI48,AJ48,AK48,AL48,AM48,AN48,AO48,AP48,AQ48,AR48,AS48,AT48,AU48,AV48,AW48,AX48,AY48,AZ48,BA48,BB48,BC48,BD48,BE48,BF48,BG48,BH48,BI48,BJ48,BK48)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8" s="38" t="s">
        <v>252</v>
      </c>
      <c r="BN48" s="8" t="s">
        <v>147</v>
      </c>
      <c r="BO48" s="48"/>
      <c r="BP48" s="35" t="str">
        <f t="shared" si="8"/>
        <v>FR</v>
      </c>
      <c r="BQ48" s="35" t="str">
        <f t="shared" si="9"/>
        <v>FS_PF_Energie Alter</v>
      </c>
      <c r="BR48" s="35" t="str">
        <f t="shared" si="10"/>
        <v>RENAULT</v>
      </c>
      <c r="BS48" s="35" t="str">
        <f t="shared" si="11"/>
        <v>GAMME D</v>
      </c>
      <c r="BT48" s="35" t="str">
        <f t="shared" si="12"/>
        <v>D19.320 G CF - SUPRA GAZ MT</v>
      </c>
      <c r="BU48" s="35">
        <f t="shared" si="13"/>
        <v>0</v>
      </c>
      <c r="BV48" s="4" t="s">
        <v>301</v>
      </c>
      <c r="BW48" s="5" t="s">
        <v>65</v>
      </c>
      <c r="BX48" s="35" t="str">
        <f t="shared" si="14"/>
        <v>H02</v>
      </c>
      <c r="BY48" s="44" t="str">
        <f t="shared" si="15"/>
        <v>FRFS_PF_Energie AlterD19.320 G CF - SUPRA GAZ MTH02</v>
      </c>
      <c r="BZ48" s="48"/>
      <c r="CA48" s="35">
        <v>19000</v>
      </c>
      <c r="CB48" s="35">
        <v>19000</v>
      </c>
      <c r="CC48" s="35" t="e">
        <f>VLOOKUP(BY48,#REF!,20,0)</f>
        <v>#REF!</v>
      </c>
      <c r="CD48" s="48"/>
      <c r="CE48" s="36" t="s">
        <v>47</v>
      </c>
      <c r="CF48" s="36" t="s">
        <v>47</v>
      </c>
      <c r="CG48" s="36"/>
    </row>
    <row r="49" spans="1:85" ht="20.100000000000001" customHeight="1" x14ac:dyDescent="0.25">
      <c r="A49" s="13" t="s">
        <v>78</v>
      </c>
      <c r="B49" s="5" t="s">
        <v>255</v>
      </c>
      <c r="C49" s="5" t="s">
        <v>256</v>
      </c>
      <c r="D49" s="1"/>
      <c r="E49" s="4" t="s">
        <v>50</v>
      </c>
      <c r="F49" s="4" t="s">
        <v>51</v>
      </c>
      <c r="G49" s="1" t="s">
        <v>44</v>
      </c>
      <c r="H49" s="13" t="s">
        <v>29</v>
      </c>
      <c r="I49" s="13" t="s">
        <v>7</v>
      </c>
      <c r="J49" s="13"/>
      <c r="K49" s="13" t="s">
        <v>30</v>
      </c>
      <c r="L49" s="13"/>
      <c r="M49" s="4" t="s">
        <v>310</v>
      </c>
      <c r="N49" s="6" t="s">
        <v>64</v>
      </c>
      <c r="O49" s="37">
        <v>8892</v>
      </c>
      <c r="P49" s="37">
        <v>2454</v>
      </c>
      <c r="Q49" s="37">
        <v>2400</v>
      </c>
      <c r="R49" s="13"/>
      <c r="S49" s="13">
        <v>3802</v>
      </c>
      <c r="T49" s="13">
        <v>2600</v>
      </c>
      <c r="U49" s="13">
        <v>11200</v>
      </c>
      <c r="V49" s="13">
        <v>1287</v>
      </c>
      <c r="W49" s="13">
        <v>6450</v>
      </c>
      <c r="X49" s="13">
        <v>3330</v>
      </c>
      <c r="Y49" s="13"/>
      <c r="Z49" s="1">
        <v>21</v>
      </c>
      <c r="AA49" s="13" t="s">
        <v>350</v>
      </c>
      <c r="AB49" s="13">
        <v>19000</v>
      </c>
      <c r="AC49" s="30" t="s">
        <v>47</v>
      </c>
      <c r="AD49" s="13"/>
      <c r="AE49" s="13"/>
      <c r="AF49" s="13"/>
      <c r="AG49" s="13"/>
      <c r="AH49" s="13" t="s">
        <v>170</v>
      </c>
      <c r="AI49" s="13" t="s">
        <v>99</v>
      </c>
      <c r="AJ49" s="37" t="s">
        <v>253</v>
      </c>
      <c r="AK49" s="13" t="s">
        <v>236</v>
      </c>
      <c r="AL49" s="4" t="s">
        <v>161</v>
      </c>
      <c r="AM49" s="13" t="s">
        <v>354</v>
      </c>
      <c r="AN49" s="4" t="s">
        <v>214</v>
      </c>
      <c r="AO49" s="21" t="s">
        <v>73</v>
      </c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20" t="e">
        <f>IF(CONCATENATE(A49,B49,C49,D49,E49,F49,G49,H49,I49,J49,K49,L49,M49,N49,O49,P49,Q49,R49,S49,T49,U49,V49,W49,X49,Y49,Z49,AA49,AB49,AC49,AD49,AE49,AF49,AG49,AH49,AI49,AJ49,AK49,AL49,AM49,AN49,AO49,AP49,AQ49,AR49,AS49,AT49,AU49,AV49,AW49,AX49,AY49,AZ49,BA49,BB49,BC49,BD49,BE49,BF49,BG49,BH49,BI49,BJ49,BK49)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9" s="38" t="s">
        <v>252</v>
      </c>
      <c r="BN49" s="8" t="s">
        <v>143</v>
      </c>
      <c r="BO49" s="48"/>
      <c r="BP49" s="35" t="str">
        <f t="shared" si="8"/>
        <v>FR</v>
      </c>
      <c r="BQ49" s="35" t="str">
        <f t="shared" si="9"/>
        <v>FS_PF_Energie Alter</v>
      </c>
      <c r="BR49" s="35" t="str">
        <f t="shared" si="10"/>
        <v>RENAULT</v>
      </c>
      <c r="BS49" s="35" t="str">
        <f t="shared" si="11"/>
        <v>GAMME D</v>
      </c>
      <c r="BT49" s="35" t="str">
        <f t="shared" si="12"/>
        <v>D19.320 G CF - CARRIER SYBERIA</v>
      </c>
      <c r="BU49" s="35">
        <f t="shared" si="13"/>
        <v>0</v>
      </c>
      <c r="BV49" s="4" t="s">
        <v>310</v>
      </c>
      <c r="BW49" s="6" t="s">
        <v>64</v>
      </c>
      <c r="BX49" s="35" t="str">
        <f t="shared" si="14"/>
        <v>H01</v>
      </c>
      <c r="BY49" s="44" t="str">
        <f t="shared" si="15"/>
        <v>FRFS_PF_Energie AlterD19.320 G CF - CARRIER SYBERIAH01</v>
      </c>
      <c r="BZ49" s="48"/>
      <c r="CA49" s="35">
        <v>19000</v>
      </c>
      <c r="CB49" s="35">
        <v>19000</v>
      </c>
      <c r="CC49" s="35" t="e">
        <f>VLOOKUP(BY49,#REF!,20,0)</f>
        <v>#REF!</v>
      </c>
      <c r="CD49" s="48"/>
      <c r="CE49" s="36" t="s">
        <v>47</v>
      </c>
      <c r="CF49" s="36" t="s">
        <v>47</v>
      </c>
      <c r="CG49" s="36"/>
    </row>
    <row r="50" spans="1:85" ht="20.100000000000001" customHeight="1" x14ac:dyDescent="0.25">
      <c r="A50" s="13" t="s">
        <v>78</v>
      </c>
      <c r="B50" s="5" t="s">
        <v>255</v>
      </c>
      <c r="C50" s="5" t="s">
        <v>256</v>
      </c>
      <c r="D50" s="1"/>
      <c r="E50" s="4" t="s">
        <v>50</v>
      </c>
      <c r="F50" s="4" t="s">
        <v>51</v>
      </c>
      <c r="G50" s="1" t="s">
        <v>44</v>
      </c>
      <c r="H50" s="13" t="s">
        <v>12</v>
      </c>
      <c r="I50" s="13" t="s">
        <v>7</v>
      </c>
      <c r="J50" s="13"/>
      <c r="K50" s="13" t="s">
        <v>30</v>
      </c>
      <c r="L50" s="13"/>
      <c r="M50" s="4" t="s">
        <v>311</v>
      </c>
      <c r="N50" s="5" t="s">
        <v>65</v>
      </c>
      <c r="O50" s="37">
        <v>8892</v>
      </c>
      <c r="P50" s="37">
        <v>2454</v>
      </c>
      <c r="Q50" s="37">
        <v>2400</v>
      </c>
      <c r="R50" s="13"/>
      <c r="S50" s="13">
        <v>3802</v>
      </c>
      <c r="T50" s="13">
        <v>2600</v>
      </c>
      <c r="U50" s="13">
        <v>11200</v>
      </c>
      <c r="V50" s="13">
        <v>1287</v>
      </c>
      <c r="W50" s="13">
        <v>6450</v>
      </c>
      <c r="X50" s="13">
        <v>3330</v>
      </c>
      <c r="Y50" s="13"/>
      <c r="Z50" s="1">
        <v>21</v>
      </c>
      <c r="AA50" s="13" t="s">
        <v>351</v>
      </c>
      <c r="AB50" s="13">
        <v>19000</v>
      </c>
      <c r="AC50" s="30" t="s">
        <v>47</v>
      </c>
      <c r="AD50" s="13"/>
      <c r="AE50" s="13"/>
      <c r="AF50" s="13"/>
      <c r="AG50" s="13"/>
      <c r="AH50" s="13" t="s">
        <v>170</v>
      </c>
      <c r="AI50" s="13" t="s">
        <v>99</v>
      </c>
      <c r="AJ50" s="37" t="s">
        <v>253</v>
      </c>
      <c r="AK50" s="13" t="s">
        <v>236</v>
      </c>
      <c r="AL50" s="4" t="s">
        <v>162</v>
      </c>
      <c r="AM50" s="13" t="s">
        <v>355</v>
      </c>
      <c r="AN50" s="4" t="s">
        <v>214</v>
      </c>
      <c r="AO50" s="21" t="s">
        <v>74</v>
      </c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20" t="e">
        <f>IF(CONCATENATE(A50,B50,C50,D50,E50,F50,G50,H50,I50,J50,K50,L50,M50,N50,O50,P50,Q50,R50,S50,T50,U50,V50,W50,X50,Y50,Z50,AA50,AB50,AC50,AD50,AE50,AF50,AG50,AH50,AI50,AJ50,AK50,AL50,AM50,AN50,AO50,AP50,AQ50,AR50,AS50,AT50,AU50,AV50,AW50,AX50,AY50,AZ50,BA50,BB50,BC50,BD50,BE50,BF50,BG50,BH50,BI50,BJ50,BK50)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0" s="38" t="s">
        <v>252</v>
      </c>
      <c r="BN50" s="8" t="s">
        <v>147</v>
      </c>
      <c r="BO50" s="48"/>
      <c r="BP50" s="35" t="str">
        <f t="shared" si="8"/>
        <v>FR</v>
      </c>
      <c r="BQ50" s="35" t="str">
        <f t="shared" si="9"/>
        <v>FS_PF_Energie Alter</v>
      </c>
      <c r="BR50" s="35" t="str">
        <f t="shared" si="10"/>
        <v>RENAULT</v>
      </c>
      <c r="BS50" s="35" t="str">
        <f t="shared" si="11"/>
        <v>GAMME D</v>
      </c>
      <c r="BT50" s="35" t="str">
        <f t="shared" si="12"/>
        <v>D19.320 G CF - CARRIER SYBERIA MT</v>
      </c>
      <c r="BU50" s="35">
        <f t="shared" si="13"/>
        <v>0</v>
      </c>
      <c r="BV50" s="4" t="s">
        <v>311</v>
      </c>
      <c r="BW50" s="5" t="s">
        <v>65</v>
      </c>
      <c r="BX50" s="35" t="str">
        <f t="shared" si="14"/>
        <v>H02</v>
      </c>
      <c r="BY50" s="44" t="str">
        <f t="shared" si="15"/>
        <v>FRFS_PF_Energie AlterD19.320 G CF - CARRIER SYBERIA MTH02</v>
      </c>
      <c r="BZ50" s="48"/>
      <c r="CA50" s="35">
        <v>19000</v>
      </c>
      <c r="CB50" s="35">
        <v>19000</v>
      </c>
      <c r="CC50" s="35" t="e">
        <f>VLOOKUP(BY50,#REF!,20,0)</f>
        <v>#REF!</v>
      </c>
      <c r="CD50" s="48"/>
      <c r="CE50" s="36" t="s">
        <v>47</v>
      </c>
      <c r="CF50" s="36" t="s">
        <v>47</v>
      </c>
      <c r="CG50" s="36"/>
    </row>
    <row r="51" spans="1:85" ht="20.100000000000001" customHeight="1" x14ac:dyDescent="0.25">
      <c r="A51" s="13" t="s">
        <v>78</v>
      </c>
      <c r="B51" s="5" t="s">
        <v>255</v>
      </c>
      <c r="C51" s="5" t="s">
        <v>256</v>
      </c>
      <c r="D51" s="1"/>
      <c r="E51" s="4" t="s">
        <v>50</v>
      </c>
      <c r="F51" s="4" t="s">
        <v>51</v>
      </c>
      <c r="G51" s="1" t="s">
        <v>44</v>
      </c>
      <c r="H51" s="13" t="s">
        <v>29</v>
      </c>
      <c r="I51" s="13" t="s">
        <v>7</v>
      </c>
      <c r="J51" s="13"/>
      <c r="K51" s="13" t="s">
        <v>30</v>
      </c>
      <c r="L51" s="13"/>
      <c r="M51" s="4" t="s">
        <v>302</v>
      </c>
      <c r="N51" s="6" t="s">
        <v>64</v>
      </c>
      <c r="O51" s="37">
        <v>8892</v>
      </c>
      <c r="P51" s="37">
        <v>2454</v>
      </c>
      <c r="Q51" s="37">
        <v>2400</v>
      </c>
      <c r="R51" s="13"/>
      <c r="S51" s="13">
        <v>3802</v>
      </c>
      <c r="T51" s="13">
        <v>2600</v>
      </c>
      <c r="U51" s="13">
        <v>11200</v>
      </c>
      <c r="V51" s="13">
        <v>1287</v>
      </c>
      <c r="W51" s="13">
        <v>6450</v>
      </c>
      <c r="X51" s="13">
        <v>3330</v>
      </c>
      <c r="Y51" s="13"/>
      <c r="Z51" s="1">
        <v>21</v>
      </c>
      <c r="AA51" s="13" t="s">
        <v>343</v>
      </c>
      <c r="AB51" s="13">
        <v>19000</v>
      </c>
      <c r="AC51" s="30" t="s">
        <v>47</v>
      </c>
      <c r="AD51" s="13"/>
      <c r="AE51" s="13"/>
      <c r="AF51" s="13"/>
      <c r="AG51" s="13"/>
      <c r="AH51" s="13" t="s">
        <v>170</v>
      </c>
      <c r="AI51" s="13" t="s">
        <v>99</v>
      </c>
      <c r="AJ51" s="37" t="s">
        <v>253</v>
      </c>
      <c r="AK51" s="13" t="s">
        <v>236</v>
      </c>
      <c r="AL51" s="4" t="s">
        <v>161</v>
      </c>
      <c r="AM51" s="13" t="s">
        <v>250</v>
      </c>
      <c r="AN51" s="4" t="s">
        <v>214</v>
      </c>
      <c r="AO51" s="21" t="s">
        <v>73</v>
      </c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20" t="e">
        <f>IF(CONCATENATE(A51,B51,C51,D51,E51,F51,G51,H51,I51,J51,K51,L51,M51,N51,O51,P51,Q51,R51,S51,T51,U51,V51,W51,X51,Y51,Z51,AA51,AB51,AC51,AD51,AE51,AF51,AG51,AH51,AI51,AJ51,AK51,AL51,AM51,AN51,AO51,AP51,AQ51,AR51,AS51,AT51,AU51,AV51,AW51,AX51,AY51,AZ51,BA51,BB51,BC51,BD51,BE51,BF51,BG51,BH51,BI51,BJ51,BK51)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1" s="38" t="s">
        <v>252</v>
      </c>
      <c r="BN51" s="8" t="s">
        <v>143</v>
      </c>
      <c r="BO51" s="48"/>
      <c r="BP51" s="35" t="str">
        <f t="shared" si="8"/>
        <v>FR</v>
      </c>
      <c r="BQ51" s="35" t="str">
        <f t="shared" si="9"/>
        <v>FS_PF_Energie Alter</v>
      </c>
      <c r="BR51" s="35" t="str">
        <f t="shared" si="10"/>
        <v>RENAULT</v>
      </c>
      <c r="BS51" s="35" t="str">
        <f t="shared" si="11"/>
        <v>GAMME D</v>
      </c>
      <c r="BT51" s="35" t="str">
        <f t="shared" si="12"/>
        <v>D19.320 G CF - FK 25</v>
      </c>
      <c r="BU51" s="35">
        <f t="shared" si="13"/>
        <v>0</v>
      </c>
      <c r="BV51" s="4" t="s">
        <v>302</v>
      </c>
      <c r="BW51" s="6" t="s">
        <v>64</v>
      </c>
      <c r="BX51" s="35" t="str">
        <f t="shared" si="14"/>
        <v>H01</v>
      </c>
      <c r="BY51" s="44" t="str">
        <f t="shared" si="15"/>
        <v>FRFS_PF_Energie AlterD19.320 G CF - FK 25H01</v>
      </c>
      <c r="BZ51" s="48"/>
      <c r="CA51" s="35">
        <v>19000</v>
      </c>
      <c r="CB51" s="35">
        <v>19000</v>
      </c>
      <c r="CC51" s="35" t="e">
        <f>VLOOKUP(BY51,#REF!,20,0)</f>
        <v>#REF!</v>
      </c>
      <c r="CD51" s="48"/>
      <c r="CE51" s="36" t="s">
        <v>47</v>
      </c>
      <c r="CF51" s="36" t="s">
        <v>47</v>
      </c>
      <c r="CG51" s="36"/>
    </row>
    <row r="52" spans="1:85" ht="20.100000000000001" customHeight="1" x14ac:dyDescent="0.25">
      <c r="A52" s="13" t="s">
        <v>78</v>
      </c>
      <c r="B52" s="5" t="s">
        <v>255</v>
      </c>
      <c r="C52" s="5" t="s">
        <v>256</v>
      </c>
      <c r="D52" s="1"/>
      <c r="E52" s="4" t="s">
        <v>50</v>
      </c>
      <c r="F52" s="4" t="s">
        <v>51</v>
      </c>
      <c r="G52" s="1" t="s">
        <v>44</v>
      </c>
      <c r="H52" s="13" t="s">
        <v>12</v>
      </c>
      <c r="I52" s="13" t="s">
        <v>7</v>
      </c>
      <c r="J52" s="13"/>
      <c r="K52" s="13" t="s">
        <v>30</v>
      </c>
      <c r="L52" s="13"/>
      <c r="M52" s="4" t="s">
        <v>303</v>
      </c>
      <c r="N52" s="5" t="s">
        <v>65</v>
      </c>
      <c r="O52" s="37">
        <v>8892</v>
      </c>
      <c r="P52" s="37">
        <v>2454</v>
      </c>
      <c r="Q52" s="37">
        <v>2400</v>
      </c>
      <c r="R52" s="13"/>
      <c r="S52" s="13">
        <v>3802</v>
      </c>
      <c r="T52" s="13">
        <v>2600</v>
      </c>
      <c r="U52" s="13">
        <v>11200</v>
      </c>
      <c r="V52" s="13">
        <v>1287</v>
      </c>
      <c r="W52" s="13">
        <v>6450</v>
      </c>
      <c r="X52" s="13">
        <v>3330</v>
      </c>
      <c r="Y52" s="13"/>
      <c r="Z52" s="1">
        <v>21</v>
      </c>
      <c r="AA52" s="13" t="s">
        <v>327</v>
      </c>
      <c r="AB52" s="13">
        <v>19000</v>
      </c>
      <c r="AC52" s="30" t="s">
        <v>47</v>
      </c>
      <c r="AD52" s="13"/>
      <c r="AE52" s="13"/>
      <c r="AF52" s="13"/>
      <c r="AG52" s="13"/>
      <c r="AH52" s="13" t="s">
        <v>170</v>
      </c>
      <c r="AI52" s="13" t="s">
        <v>99</v>
      </c>
      <c r="AJ52" s="37" t="s">
        <v>253</v>
      </c>
      <c r="AK52" s="13" t="s">
        <v>236</v>
      </c>
      <c r="AL52" s="4" t="s">
        <v>162</v>
      </c>
      <c r="AM52" s="13" t="s">
        <v>251</v>
      </c>
      <c r="AN52" s="4" t="s">
        <v>214</v>
      </c>
      <c r="AO52" s="21" t="s">
        <v>74</v>
      </c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20" t="e">
        <f>IF(CONCATENATE(A52,B52,C52,D52,E52,F52,G52,H52,I52,J52,K52,L52,M52,N52,O52,P52,Q52,R52,S52,T52,U52,V52,W52,X52,Y52,Z52,AA52,AB52,AC52,AD52,AE52,AF52,AG52,AH52,AI52,AJ52,AK52,AL52,AM52,AN52,AO52,AP52,AQ52,AR52,AS52,AT52,AU52,AV52,AW52,AX52,AY52,AZ52,BA52,BB52,BC52,BD52,BE52,BF52,BG52,BH52,BI52,BJ52,BK52)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2" s="38" t="s">
        <v>252</v>
      </c>
      <c r="BN52" s="8" t="s">
        <v>147</v>
      </c>
      <c r="BO52" s="48"/>
      <c r="BP52" s="35" t="str">
        <f t="shared" si="8"/>
        <v>FR</v>
      </c>
      <c r="BQ52" s="35" t="str">
        <f t="shared" si="9"/>
        <v>FS_PF_Energie Alter</v>
      </c>
      <c r="BR52" s="35" t="str">
        <f t="shared" si="10"/>
        <v>RENAULT</v>
      </c>
      <c r="BS52" s="35" t="str">
        <f t="shared" si="11"/>
        <v>GAMME D</v>
      </c>
      <c r="BT52" s="35" t="str">
        <f t="shared" si="12"/>
        <v>D19.320 G CF - FK 25I MT</v>
      </c>
      <c r="BU52" s="35">
        <f t="shared" si="13"/>
        <v>0</v>
      </c>
      <c r="BV52" s="4" t="s">
        <v>303</v>
      </c>
      <c r="BW52" s="5" t="s">
        <v>65</v>
      </c>
      <c r="BX52" s="35" t="str">
        <f t="shared" si="14"/>
        <v>H02</v>
      </c>
      <c r="BY52" s="44" t="str">
        <f t="shared" si="15"/>
        <v>FRFS_PF_Energie AlterD19.320 G CF - FK 25I MTH02</v>
      </c>
      <c r="BZ52" s="48"/>
      <c r="CA52" s="35">
        <v>19000</v>
      </c>
      <c r="CB52" s="35">
        <v>19000</v>
      </c>
      <c r="CC52" s="35" t="e">
        <f>VLOOKUP(BY52,#REF!,20,0)</f>
        <v>#REF!</v>
      </c>
      <c r="CD52" s="48"/>
      <c r="CE52" s="36" t="s">
        <v>47</v>
      </c>
      <c r="CF52" s="36" t="s">
        <v>47</v>
      </c>
      <c r="CG52" s="36"/>
    </row>
    <row r="53" spans="1:85" ht="20.100000000000001" customHeight="1" x14ac:dyDescent="0.25">
      <c r="A53" s="4" t="s">
        <v>78</v>
      </c>
      <c r="B53" s="5" t="s">
        <v>255</v>
      </c>
      <c r="C53" s="5" t="s">
        <v>256</v>
      </c>
      <c r="D53" s="1"/>
      <c r="E53" s="4" t="s">
        <v>50</v>
      </c>
      <c r="F53" s="4" t="s">
        <v>51</v>
      </c>
      <c r="G53" s="4" t="s">
        <v>45</v>
      </c>
      <c r="H53" s="4" t="s">
        <v>29</v>
      </c>
      <c r="I53" s="4" t="s">
        <v>7</v>
      </c>
      <c r="J53" s="4"/>
      <c r="K53" s="4" t="s">
        <v>30</v>
      </c>
      <c r="L53" s="4"/>
      <c r="M53" s="4" t="s">
        <v>304</v>
      </c>
      <c r="N53" s="6" t="s">
        <v>64</v>
      </c>
      <c r="O53" s="4">
        <v>9490</v>
      </c>
      <c r="P53" s="4">
        <v>2450</v>
      </c>
      <c r="Q53" s="4">
        <v>2400</v>
      </c>
      <c r="R53" s="4"/>
      <c r="S53" s="4"/>
      <c r="T53" s="4"/>
      <c r="U53" s="4"/>
      <c r="V53" s="4"/>
      <c r="W53" s="4"/>
      <c r="X53" s="4"/>
      <c r="Y53" s="4"/>
      <c r="Z53" s="1">
        <v>23</v>
      </c>
      <c r="AA53" s="13" t="s">
        <v>342</v>
      </c>
      <c r="AB53" s="4">
        <v>26000</v>
      </c>
      <c r="AC53" s="30" t="s">
        <v>47</v>
      </c>
      <c r="AD53" s="6"/>
      <c r="AE53" s="6"/>
      <c r="AF53" s="6"/>
      <c r="AG53" s="6"/>
      <c r="AH53" s="4" t="s">
        <v>171</v>
      </c>
      <c r="AI53" s="4" t="s">
        <v>99</v>
      </c>
      <c r="AJ53" s="37" t="s">
        <v>253</v>
      </c>
      <c r="AK53" s="13" t="s">
        <v>236</v>
      </c>
      <c r="AL53" s="4" t="s">
        <v>163</v>
      </c>
      <c r="AM53" s="13" t="s">
        <v>249</v>
      </c>
      <c r="AN53" s="4" t="s">
        <v>214</v>
      </c>
      <c r="AO53" s="22" t="s">
        <v>90</v>
      </c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0" t="e">
        <f>IF(CONCATENATE(A53,B53,C53,D53,E53,F53,G53,H53,I53,J53,K53,L53,M53,N53,O53,P53,Q53,R53,S53,T53,U53,V53,W53,X53,Y53,Z53,AA53,AB53,AC53,AD53,AE53,AF53,AG53,AH53,AI53,AJ53,AK53,AL53,AM53,AN53,AO53,AP53,AQ53,AR53,AS53,AT53,AU53,AV53,AW53,AX53,AY53,AZ53,BA53,BB53,BC53,BD53,BE53,BF53,BG53,BH53,BI53,BJ53,BK53)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3" s="38" t="s">
        <v>252</v>
      </c>
      <c r="BN53" s="8" t="s">
        <v>101</v>
      </c>
      <c r="BO53" s="48"/>
      <c r="BP53" s="35" t="str">
        <f t="shared" si="8"/>
        <v>FR</v>
      </c>
      <c r="BQ53" s="35" t="str">
        <f t="shared" si="9"/>
        <v>FS_PF_Energie Alter</v>
      </c>
      <c r="BR53" s="35" t="str">
        <f t="shared" si="10"/>
        <v>RENAULT</v>
      </c>
      <c r="BS53" s="35" t="str">
        <f t="shared" si="11"/>
        <v>GAMME D</v>
      </c>
      <c r="BT53" s="35" t="str">
        <f t="shared" si="12"/>
        <v>D26.320 G CF - SUPRA GAZ</v>
      </c>
      <c r="BU53" s="35">
        <f t="shared" si="13"/>
        <v>0</v>
      </c>
      <c r="BV53" s="4" t="s">
        <v>304</v>
      </c>
      <c r="BW53" s="6" t="s">
        <v>64</v>
      </c>
      <c r="BX53" s="35" t="str">
        <f t="shared" si="14"/>
        <v>H01</v>
      </c>
      <c r="BY53" s="44" t="str">
        <f t="shared" si="15"/>
        <v>FRFS_PF_Energie AlterD26.320 G CF - SUPRA GAZH01</v>
      </c>
      <c r="BZ53" s="48"/>
      <c r="CA53" s="35">
        <v>26000</v>
      </c>
      <c r="CB53" s="35">
        <v>26000</v>
      </c>
      <c r="CC53" s="35" t="e">
        <f>VLOOKUP(BY53,#REF!,20,0)</f>
        <v>#REF!</v>
      </c>
      <c r="CD53" s="48"/>
      <c r="CE53" s="36" t="s">
        <v>47</v>
      </c>
      <c r="CF53" s="36" t="s">
        <v>47</v>
      </c>
      <c r="CG53" s="36"/>
    </row>
    <row r="54" spans="1:85" ht="20.100000000000001" customHeight="1" x14ac:dyDescent="0.25">
      <c r="A54" s="4" t="s">
        <v>78</v>
      </c>
      <c r="B54" s="5" t="s">
        <v>255</v>
      </c>
      <c r="C54" s="5" t="s">
        <v>256</v>
      </c>
      <c r="D54" s="1"/>
      <c r="E54" s="4" t="s">
        <v>50</v>
      </c>
      <c r="F54" s="4" t="s">
        <v>51</v>
      </c>
      <c r="G54" s="4" t="s">
        <v>45</v>
      </c>
      <c r="H54" s="4" t="s">
        <v>12</v>
      </c>
      <c r="I54" s="4" t="s">
        <v>7</v>
      </c>
      <c r="J54" s="4"/>
      <c r="K54" s="4" t="s">
        <v>30</v>
      </c>
      <c r="L54" s="4"/>
      <c r="M54" s="4" t="s">
        <v>305</v>
      </c>
      <c r="N54" s="5" t="s">
        <v>65</v>
      </c>
      <c r="O54" s="4">
        <v>9490</v>
      </c>
      <c r="P54" s="4">
        <v>2450</v>
      </c>
      <c r="Q54" s="4">
        <v>2400</v>
      </c>
      <c r="R54" s="4"/>
      <c r="S54" s="4"/>
      <c r="T54" s="4"/>
      <c r="U54" s="4"/>
      <c r="V54" s="4"/>
      <c r="W54" s="4"/>
      <c r="X54" s="4"/>
      <c r="Y54" s="4"/>
      <c r="Z54" s="1">
        <v>23</v>
      </c>
      <c r="AA54" s="4" t="s">
        <v>326</v>
      </c>
      <c r="AB54" s="4">
        <v>26000</v>
      </c>
      <c r="AC54" s="30" t="s">
        <v>47</v>
      </c>
      <c r="AD54" s="6"/>
      <c r="AE54" s="6"/>
      <c r="AF54" s="6"/>
      <c r="AG54" s="6"/>
      <c r="AH54" s="4" t="s">
        <v>171</v>
      </c>
      <c r="AI54" s="4" t="s">
        <v>99</v>
      </c>
      <c r="AJ54" s="37" t="s">
        <v>253</v>
      </c>
      <c r="AK54" s="13" t="s">
        <v>236</v>
      </c>
      <c r="AL54" s="4" t="s">
        <v>164</v>
      </c>
      <c r="AM54" s="13" t="s">
        <v>248</v>
      </c>
      <c r="AN54" s="4" t="s">
        <v>214</v>
      </c>
      <c r="AO54" s="22" t="s">
        <v>90</v>
      </c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3"/>
      <c r="BI54" s="23"/>
      <c r="BJ54" s="23"/>
      <c r="BK54" s="23"/>
      <c r="BL54" s="20" t="e">
        <f>IF(CONCATENATE(A54,B54,C54,D54,E54,F54,G54,H54,I54,J54,K54,L54,M54,N54,O54,P54,Q54,R54,S54,T54,U54,V54,W54,X54,Y54,Z54,AA54,AB54,AC54,AD54,AE54,AF54,AG54,AH54,AI54,AJ54,AK54,AL54,AM54,AN54,AO54,AP54,AQ54,AR54,AS54,AT54,AU54,AV54,AW54,AX54,AY54,AZ54,BA54,BB54,BC54,BD54,BE54,BF54,BG54,BH54,BI54,BJ54,BK54)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4" s="38" t="s">
        <v>252</v>
      </c>
      <c r="BN54" s="8" t="s">
        <v>101</v>
      </c>
      <c r="BO54" s="48"/>
      <c r="BP54" s="35" t="str">
        <f t="shared" si="8"/>
        <v>FR</v>
      </c>
      <c r="BQ54" s="35" t="str">
        <f t="shared" si="9"/>
        <v>FS_PF_Energie Alter</v>
      </c>
      <c r="BR54" s="35" t="str">
        <f t="shared" si="10"/>
        <v>RENAULT</v>
      </c>
      <c r="BS54" s="35" t="str">
        <f t="shared" si="11"/>
        <v>GAMME D</v>
      </c>
      <c r="BT54" s="35" t="str">
        <f t="shared" si="12"/>
        <v>D26.320 G CF - SUPRA GAZ MT</v>
      </c>
      <c r="BU54" s="35">
        <f t="shared" si="13"/>
        <v>0</v>
      </c>
      <c r="BV54" s="4" t="s">
        <v>305</v>
      </c>
      <c r="BW54" s="5" t="s">
        <v>65</v>
      </c>
      <c r="BX54" s="35" t="str">
        <f t="shared" si="14"/>
        <v>H02</v>
      </c>
      <c r="BY54" s="44" t="str">
        <f t="shared" si="15"/>
        <v>FRFS_PF_Energie AlterD26.320 G CF - SUPRA GAZ MTH02</v>
      </c>
      <c r="BZ54" s="48"/>
      <c r="CA54" s="35">
        <v>26000</v>
      </c>
      <c r="CB54" s="35">
        <v>26000</v>
      </c>
      <c r="CC54" s="35" t="e">
        <f>VLOOKUP(BY54,#REF!,20,0)</f>
        <v>#REF!</v>
      </c>
      <c r="CD54" s="48"/>
      <c r="CE54" s="36" t="s">
        <v>47</v>
      </c>
      <c r="CF54" s="36" t="s">
        <v>47</v>
      </c>
      <c r="CG54" s="36"/>
    </row>
    <row r="55" spans="1:85" ht="20.100000000000001" customHeight="1" x14ac:dyDescent="0.25">
      <c r="A55" s="4" t="s">
        <v>78</v>
      </c>
      <c r="B55" s="5" t="s">
        <v>255</v>
      </c>
      <c r="C55" s="5" t="s">
        <v>256</v>
      </c>
      <c r="D55" s="1"/>
      <c r="E55" s="4" t="s">
        <v>50</v>
      </c>
      <c r="F55" s="4" t="s">
        <v>51</v>
      </c>
      <c r="G55" s="4" t="s">
        <v>45</v>
      </c>
      <c r="H55" s="4" t="s">
        <v>29</v>
      </c>
      <c r="I55" s="4" t="s">
        <v>7</v>
      </c>
      <c r="J55" s="4"/>
      <c r="K55" s="4" t="s">
        <v>30</v>
      </c>
      <c r="L55" s="4"/>
      <c r="M55" s="4" t="s">
        <v>344</v>
      </c>
      <c r="N55" s="6" t="s">
        <v>64</v>
      </c>
      <c r="O55" s="4">
        <v>9490</v>
      </c>
      <c r="P55" s="4">
        <v>2450</v>
      </c>
      <c r="Q55" s="4">
        <v>2400</v>
      </c>
      <c r="R55" s="4"/>
      <c r="S55" s="4"/>
      <c r="T55" s="4"/>
      <c r="U55" s="4"/>
      <c r="V55" s="4"/>
      <c r="W55" s="4"/>
      <c r="X55" s="4"/>
      <c r="Y55" s="4"/>
      <c r="Z55" s="1">
        <v>23</v>
      </c>
      <c r="AA55" s="13" t="s">
        <v>350</v>
      </c>
      <c r="AB55" s="4">
        <v>26000</v>
      </c>
      <c r="AC55" s="30" t="s">
        <v>47</v>
      </c>
      <c r="AD55" s="6"/>
      <c r="AE55" s="6"/>
      <c r="AF55" s="6"/>
      <c r="AG55" s="6"/>
      <c r="AH55" s="4" t="s">
        <v>171</v>
      </c>
      <c r="AI55" s="4" t="s">
        <v>99</v>
      </c>
      <c r="AJ55" s="37" t="s">
        <v>253</v>
      </c>
      <c r="AK55" s="13" t="s">
        <v>236</v>
      </c>
      <c r="AL55" s="4" t="s">
        <v>163</v>
      </c>
      <c r="AM55" s="13" t="s">
        <v>354</v>
      </c>
      <c r="AN55" s="4" t="s">
        <v>214</v>
      </c>
      <c r="AO55" s="22" t="s">
        <v>90</v>
      </c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3"/>
      <c r="BL55" s="20" t="e">
        <f>IF(CONCATENATE(A55,B55,C55,D55,E55,F55,G55,H55,I55,J55,K55,L55,M55,N55,O55,P55,Q55,R55,S55,T55,U55,V55,W55,X55,Y55,Z55,AA55,AB55,AC55,AD55,AE55,AF55,AG55,AH55,AI55,AJ55,AK55,AL55,AM55,AN55,AO55,AP55,AQ55,AR55,AS55,AT55,AU55,AV55,AW55,AX55,AY55,AZ55,BA55,BB55,BC55,BD55,BE55,BF55,BG55,BH55,BI55,BJ55,BK55)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5" s="38" t="s">
        <v>252</v>
      </c>
      <c r="BN55" s="8" t="s">
        <v>101</v>
      </c>
      <c r="BO55" s="48"/>
      <c r="BP55" s="35" t="str">
        <f t="shared" si="8"/>
        <v>FR</v>
      </c>
      <c r="BQ55" s="35" t="str">
        <f t="shared" si="9"/>
        <v>FS_PF_Energie Alter</v>
      </c>
      <c r="BR55" s="35" t="str">
        <f t="shared" si="10"/>
        <v>RENAULT</v>
      </c>
      <c r="BS55" s="35" t="str">
        <f t="shared" si="11"/>
        <v>GAMME D</v>
      </c>
      <c r="BT55" s="35" t="str">
        <f t="shared" si="12"/>
        <v>D26.320 G CF - CARRIER SYBERIA</v>
      </c>
      <c r="BU55" s="35">
        <f t="shared" si="13"/>
        <v>0</v>
      </c>
      <c r="BV55" s="4" t="s">
        <v>344</v>
      </c>
      <c r="BW55" s="6" t="s">
        <v>64</v>
      </c>
      <c r="BX55" s="35" t="str">
        <f t="shared" si="14"/>
        <v>H01</v>
      </c>
      <c r="BY55" s="44" t="str">
        <f t="shared" si="15"/>
        <v>FRFS_PF_Energie AlterD26.320 G CF - CARRIER SYBERIAH01</v>
      </c>
      <c r="BZ55" s="48"/>
      <c r="CA55" s="35">
        <v>26000</v>
      </c>
      <c r="CB55" s="35">
        <v>26000</v>
      </c>
      <c r="CC55" s="35" t="e">
        <f>VLOOKUP(BY55,#REF!,20,0)</f>
        <v>#REF!</v>
      </c>
      <c r="CD55" s="48"/>
      <c r="CE55" s="36" t="s">
        <v>47</v>
      </c>
      <c r="CF55" s="36" t="s">
        <v>47</v>
      </c>
      <c r="CG55" s="36"/>
    </row>
    <row r="56" spans="1:85" ht="20.100000000000001" customHeight="1" x14ac:dyDescent="0.25">
      <c r="A56" s="4" t="s">
        <v>78</v>
      </c>
      <c r="B56" s="5" t="s">
        <v>255</v>
      </c>
      <c r="C56" s="5" t="s">
        <v>256</v>
      </c>
      <c r="D56" s="1"/>
      <c r="E56" s="4" t="s">
        <v>50</v>
      </c>
      <c r="F56" s="4" t="s">
        <v>51</v>
      </c>
      <c r="G56" s="4" t="s">
        <v>45</v>
      </c>
      <c r="H56" s="4" t="s">
        <v>12</v>
      </c>
      <c r="I56" s="4" t="s">
        <v>7</v>
      </c>
      <c r="J56" s="4"/>
      <c r="K56" s="4" t="s">
        <v>30</v>
      </c>
      <c r="L56" s="4"/>
      <c r="M56" s="4" t="s">
        <v>345</v>
      </c>
      <c r="N56" s="5" t="s">
        <v>65</v>
      </c>
      <c r="O56" s="4">
        <v>9490</v>
      </c>
      <c r="P56" s="4">
        <v>2450</v>
      </c>
      <c r="Q56" s="4">
        <v>2400</v>
      </c>
      <c r="R56" s="4"/>
      <c r="S56" s="4"/>
      <c r="T56" s="4"/>
      <c r="U56" s="4"/>
      <c r="V56" s="4"/>
      <c r="W56" s="4"/>
      <c r="X56" s="4"/>
      <c r="Y56" s="4"/>
      <c r="Z56" s="1">
        <v>23</v>
      </c>
      <c r="AA56" s="4" t="s">
        <v>351</v>
      </c>
      <c r="AB56" s="4">
        <v>26000</v>
      </c>
      <c r="AC56" s="30" t="s">
        <v>47</v>
      </c>
      <c r="AD56" s="6"/>
      <c r="AE56" s="6"/>
      <c r="AF56" s="6"/>
      <c r="AG56" s="6"/>
      <c r="AH56" s="4" t="s">
        <v>171</v>
      </c>
      <c r="AI56" s="4" t="s">
        <v>99</v>
      </c>
      <c r="AJ56" s="37" t="s">
        <v>253</v>
      </c>
      <c r="AK56" s="13" t="s">
        <v>236</v>
      </c>
      <c r="AL56" s="4" t="s">
        <v>164</v>
      </c>
      <c r="AM56" s="13" t="s">
        <v>355</v>
      </c>
      <c r="AN56" s="4" t="s">
        <v>214</v>
      </c>
      <c r="AO56" s="22" t="s">
        <v>90</v>
      </c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0" t="e">
        <f>IF(CONCATENATE(A56,B56,C56,D56,E56,F56,G56,H56,I56,J56,K56,L56,M56,N56,O56,P56,Q56,R56,S56,T56,U56,V56,W56,X56,Y56,Z56,AA56,AB56,AC56,AD56,AE56,AF56,AG56,AH56,AI56,AJ56,AK56,AL56,AM56,AN56,AO56,AP56,AQ56,AR56,AS56,AT56,AU56,AV56,AW56,AX56,AY56,AZ56,BA56,BB56,BC56,BD56,BE56,BF56,BG56,BH56,BI56,BJ56,BK56)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6" s="38" t="s">
        <v>252</v>
      </c>
      <c r="BN56" s="8" t="s">
        <v>101</v>
      </c>
      <c r="BO56" s="48"/>
      <c r="BP56" s="35" t="str">
        <f t="shared" si="8"/>
        <v>FR</v>
      </c>
      <c r="BQ56" s="35" t="str">
        <f t="shared" si="9"/>
        <v>FS_PF_Energie Alter</v>
      </c>
      <c r="BR56" s="35" t="str">
        <f t="shared" si="10"/>
        <v>RENAULT</v>
      </c>
      <c r="BS56" s="35" t="str">
        <f t="shared" si="11"/>
        <v>GAMME D</v>
      </c>
      <c r="BT56" s="35" t="str">
        <f t="shared" si="12"/>
        <v>D26.320 G CF - CARRIER SYBERIA MT</v>
      </c>
      <c r="BU56" s="35">
        <f t="shared" si="13"/>
        <v>0</v>
      </c>
      <c r="BV56" s="4" t="s">
        <v>345</v>
      </c>
      <c r="BW56" s="5" t="s">
        <v>65</v>
      </c>
      <c r="BX56" s="35" t="str">
        <f t="shared" si="14"/>
        <v>H02</v>
      </c>
      <c r="BY56" s="44" t="str">
        <f t="shared" si="15"/>
        <v>FRFS_PF_Energie AlterD26.320 G CF - CARRIER SYBERIA MTH02</v>
      </c>
      <c r="BZ56" s="48"/>
      <c r="CA56" s="35">
        <v>26000</v>
      </c>
      <c r="CB56" s="35">
        <v>26000</v>
      </c>
      <c r="CC56" s="35" t="e">
        <f>VLOOKUP(BY56,#REF!,20,0)</f>
        <v>#REF!</v>
      </c>
      <c r="CD56" s="48"/>
      <c r="CE56" s="36" t="s">
        <v>47</v>
      </c>
      <c r="CF56" s="36" t="s">
        <v>47</v>
      </c>
      <c r="CG56" s="36"/>
    </row>
    <row r="57" spans="1:85" ht="20.100000000000001" customHeight="1" x14ac:dyDescent="0.25">
      <c r="A57" s="4" t="s">
        <v>78</v>
      </c>
      <c r="B57" s="5" t="s">
        <v>255</v>
      </c>
      <c r="C57" s="5" t="s">
        <v>256</v>
      </c>
      <c r="D57" s="1"/>
      <c r="E57" s="4" t="s">
        <v>50</v>
      </c>
      <c r="F57" s="4" t="s">
        <v>51</v>
      </c>
      <c r="G57" s="4" t="s">
        <v>45</v>
      </c>
      <c r="H57" s="4" t="s">
        <v>29</v>
      </c>
      <c r="I57" s="4" t="s">
        <v>7</v>
      </c>
      <c r="J57" s="4"/>
      <c r="K57" s="4" t="s">
        <v>30</v>
      </c>
      <c r="L57" s="4"/>
      <c r="M57" s="4" t="s">
        <v>306</v>
      </c>
      <c r="N57" s="6" t="s">
        <v>64</v>
      </c>
      <c r="O57" s="4">
        <v>9490</v>
      </c>
      <c r="P57" s="4">
        <v>2450</v>
      </c>
      <c r="Q57" s="4">
        <v>2400</v>
      </c>
      <c r="R57" s="4"/>
      <c r="S57" s="4"/>
      <c r="T57" s="4"/>
      <c r="U57" s="4"/>
      <c r="V57" s="4"/>
      <c r="W57" s="4"/>
      <c r="X57" s="4"/>
      <c r="Y57" s="4"/>
      <c r="Z57" s="1">
        <v>23</v>
      </c>
      <c r="AA57" s="13" t="s">
        <v>343</v>
      </c>
      <c r="AB57" s="4">
        <v>26000</v>
      </c>
      <c r="AC57" s="30" t="s">
        <v>47</v>
      </c>
      <c r="AD57" s="6"/>
      <c r="AE57" s="6"/>
      <c r="AF57" s="6"/>
      <c r="AG57" s="6"/>
      <c r="AH57" s="4" t="s">
        <v>171</v>
      </c>
      <c r="AI57" s="4" t="s">
        <v>99</v>
      </c>
      <c r="AJ57" s="37" t="s">
        <v>253</v>
      </c>
      <c r="AK57" s="13" t="s">
        <v>236</v>
      </c>
      <c r="AL57" s="4" t="s">
        <v>163</v>
      </c>
      <c r="AM57" s="13" t="s">
        <v>250</v>
      </c>
      <c r="AN57" s="4" t="s">
        <v>214</v>
      </c>
      <c r="AO57" s="22" t="s">
        <v>90</v>
      </c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0" t="e">
        <f>IF(CONCATENATE(A57,B57,C57,D57,E57,F57,G57,H57,I57,J57,K57,L57,M57,N57,O57,P57,Q57,R57,S57,T57,U57,V57,W57,X57,Y57,Z57,AA57,AB57,AC57,AD57,AE57,AF57,AG57,AH57,AI57,AJ57,AK57,AL57,AM57,AN57,AO57,AP57,AQ57,AR57,AS57,AT57,AU57,AV57,AW57,AX57,AY57,AZ57,BA57,BB57,BC57,BD57,BE57,BF57,BG57,BH57,BI57,BJ57,BK57)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7" s="38" t="s">
        <v>252</v>
      </c>
      <c r="BN57" s="8" t="s">
        <v>101</v>
      </c>
      <c r="BO57" s="48"/>
      <c r="BP57" s="35" t="str">
        <f t="shared" si="8"/>
        <v>FR</v>
      </c>
      <c r="BQ57" s="35" t="str">
        <f t="shared" si="9"/>
        <v>FS_PF_Energie Alter</v>
      </c>
      <c r="BR57" s="35" t="str">
        <f t="shared" si="10"/>
        <v>RENAULT</v>
      </c>
      <c r="BS57" s="35" t="str">
        <f t="shared" si="11"/>
        <v>GAMME D</v>
      </c>
      <c r="BT57" s="35" t="str">
        <f t="shared" si="12"/>
        <v>D26.320 G CF - FK 25</v>
      </c>
      <c r="BU57" s="35">
        <f t="shared" si="13"/>
        <v>0</v>
      </c>
      <c r="BV57" s="4" t="s">
        <v>306</v>
      </c>
      <c r="BW57" s="6" t="s">
        <v>64</v>
      </c>
      <c r="BX57" s="35" t="str">
        <f t="shared" si="14"/>
        <v>H01</v>
      </c>
      <c r="BY57" s="44" t="str">
        <f t="shared" si="15"/>
        <v>FRFS_PF_Energie AlterD26.320 G CF - FK 25H01</v>
      </c>
      <c r="BZ57" s="48"/>
      <c r="CA57" s="35">
        <v>26000</v>
      </c>
      <c r="CB57" s="35">
        <v>26000</v>
      </c>
      <c r="CC57" s="35" t="e">
        <f>VLOOKUP(BY57,#REF!,20,0)</f>
        <v>#REF!</v>
      </c>
      <c r="CD57" s="48"/>
      <c r="CE57" s="36" t="s">
        <v>47</v>
      </c>
      <c r="CF57" s="36" t="s">
        <v>47</v>
      </c>
      <c r="CG57" s="36"/>
    </row>
    <row r="58" spans="1:85" ht="20.100000000000001" customHeight="1" x14ac:dyDescent="0.25">
      <c r="A58" s="4" t="s">
        <v>78</v>
      </c>
      <c r="B58" s="5" t="s">
        <v>255</v>
      </c>
      <c r="C58" s="5" t="s">
        <v>256</v>
      </c>
      <c r="D58" s="1"/>
      <c r="E58" s="4" t="s">
        <v>50</v>
      </c>
      <c r="F58" s="4" t="s">
        <v>51</v>
      </c>
      <c r="G58" s="4" t="s">
        <v>45</v>
      </c>
      <c r="H58" s="4" t="s">
        <v>12</v>
      </c>
      <c r="I58" s="4" t="s">
        <v>7</v>
      </c>
      <c r="J58" s="4"/>
      <c r="K58" s="4" t="s">
        <v>30</v>
      </c>
      <c r="L58" s="4"/>
      <c r="M58" s="4" t="s">
        <v>307</v>
      </c>
      <c r="N58" s="5" t="s">
        <v>65</v>
      </c>
      <c r="O58" s="4">
        <v>9490</v>
      </c>
      <c r="P58" s="4">
        <v>2450</v>
      </c>
      <c r="Q58" s="4">
        <v>2400</v>
      </c>
      <c r="R58" s="4"/>
      <c r="S58" s="4"/>
      <c r="T58" s="4"/>
      <c r="U58" s="4"/>
      <c r="V58" s="4"/>
      <c r="W58" s="4"/>
      <c r="X58" s="4"/>
      <c r="Y58" s="4"/>
      <c r="Z58" s="1">
        <v>23</v>
      </c>
      <c r="AA58" s="4" t="s">
        <v>327</v>
      </c>
      <c r="AB58" s="4">
        <v>26000</v>
      </c>
      <c r="AC58" s="30" t="s">
        <v>47</v>
      </c>
      <c r="AD58" s="6"/>
      <c r="AE58" s="6"/>
      <c r="AF58" s="6"/>
      <c r="AG58" s="6"/>
      <c r="AH58" s="4" t="s">
        <v>171</v>
      </c>
      <c r="AI58" s="4" t="s">
        <v>99</v>
      </c>
      <c r="AJ58" s="37" t="s">
        <v>253</v>
      </c>
      <c r="AK58" s="13" t="s">
        <v>236</v>
      </c>
      <c r="AL58" s="4" t="s">
        <v>164</v>
      </c>
      <c r="AM58" s="13" t="s">
        <v>251</v>
      </c>
      <c r="AN58" s="4" t="s">
        <v>214</v>
      </c>
      <c r="AO58" s="22" t="s">
        <v>90</v>
      </c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3"/>
      <c r="BI58" s="23"/>
      <c r="BJ58" s="23"/>
      <c r="BK58" s="23"/>
      <c r="BL58" s="20" t="e">
        <f>IF(CONCATENATE(A58,B58,C58,D58,E58,F58,G58,H58,I58,J58,K58,L58,M58,N58,O58,P58,Q58,R58,S58,T58,U58,V58,W58,X58,Y58,Z58,AA58,AB58,AC58,AD58,AE58,AF58,AG58,AH58,AI58,AJ58,AK58,AL58,AM58,AN58,AO58,AP58,AQ58,AR58,AS58,AT58,AU58,AV58,AW58,AX58,AY58,AZ58,BA58,BB58,BC58,BD58,BE58,BF58,BG58,BH58,BI58,BJ58,BK58)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8" s="38" t="s">
        <v>252</v>
      </c>
      <c r="BN58" s="8" t="s">
        <v>101</v>
      </c>
      <c r="BO58" s="48"/>
      <c r="BP58" s="35" t="str">
        <f t="shared" si="8"/>
        <v>FR</v>
      </c>
      <c r="BQ58" s="35" t="str">
        <f t="shared" si="9"/>
        <v>FS_PF_Energie Alter</v>
      </c>
      <c r="BR58" s="35" t="str">
        <f t="shared" si="10"/>
        <v>RENAULT</v>
      </c>
      <c r="BS58" s="35" t="str">
        <f t="shared" si="11"/>
        <v>GAMME D</v>
      </c>
      <c r="BT58" s="35" t="str">
        <f t="shared" si="12"/>
        <v>D26.320 G CF - FK 25I MT</v>
      </c>
      <c r="BU58" s="35">
        <f t="shared" si="13"/>
        <v>0</v>
      </c>
      <c r="BV58" s="4" t="s">
        <v>307</v>
      </c>
      <c r="BW58" s="5" t="s">
        <v>65</v>
      </c>
      <c r="BX58" s="35" t="str">
        <f t="shared" si="14"/>
        <v>H02</v>
      </c>
      <c r="BY58" s="44" t="str">
        <f t="shared" si="15"/>
        <v>FRFS_PF_Energie AlterD26.320 G CF - FK 25I MTH02</v>
      </c>
      <c r="BZ58" s="48"/>
      <c r="CA58" s="35">
        <v>26000</v>
      </c>
      <c r="CB58" s="35">
        <v>26000</v>
      </c>
      <c r="CC58" s="35" t="e">
        <f>VLOOKUP(BY58,#REF!,20,0)</f>
        <v>#REF!</v>
      </c>
      <c r="CD58" s="48"/>
      <c r="CE58" s="36" t="s">
        <v>47</v>
      </c>
      <c r="CF58" s="36" t="s">
        <v>47</v>
      </c>
      <c r="CG58" s="36"/>
    </row>
  </sheetData>
  <autoFilter ref="A1:FW58" xr:uid="{028DA298-0F52-4165-B9BB-6705DB0F32ED}">
    <filterColumn colId="83" showButton="0"/>
  </autoFilter>
  <mergeCells count="1">
    <mergeCell ref="CF1:CG1"/>
  </mergeCells>
  <conditionalFormatting sqref="BL2:BL58">
    <cfRule type="cellIs" dxfId="1" priority="1" operator="equal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D235D-D40D-42A4-8742-BCF013399612}">
  <dimension ref="A2:U13"/>
  <sheetViews>
    <sheetView showGridLines="0" workbookViewId="0">
      <selection activeCell="L22" sqref="L22"/>
    </sheetView>
  </sheetViews>
  <sheetFormatPr baseColWidth="10" defaultRowHeight="15" x14ac:dyDescent="0.25"/>
  <cols>
    <col min="1" max="1" width="30.28515625" style="49" customWidth="1"/>
    <col min="2" max="3" width="10.7109375" style="46" customWidth="1"/>
    <col min="4" max="4" width="12.7109375" style="46" customWidth="1"/>
    <col min="5" max="7" width="8" style="46" customWidth="1"/>
    <col min="8" max="11" width="10.7109375" style="46" customWidth="1"/>
    <col min="12" max="13" width="17.5703125" style="46" customWidth="1"/>
    <col min="14" max="15" width="13.42578125" style="46" customWidth="1"/>
    <col min="16" max="21" width="10.7109375" style="46" customWidth="1"/>
    <col min="22" max="16384" width="11.42578125" style="49"/>
  </cols>
  <sheetData>
    <row r="2" spans="1:21" x14ac:dyDescent="0.25">
      <c r="B2" s="95" t="s">
        <v>404</v>
      </c>
      <c r="C2" s="95"/>
      <c r="D2" s="50" t="s">
        <v>409</v>
      </c>
      <c r="E2" s="95" t="s">
        <v>405</v>
      </c>
      <c r="F2" s="95"/>
      <c r="G2" s="95"/>
      <c r="H2" s="95" t="s">
        <v>406</v>
      </c>
      <c r="I2" s="95"/>
      <c r="J2" s="95" t="s">
        <v>410</v>
      </c>
      <c r="K2" s="95"/>
      <c r="L2" s="95" t="s">
        <v>411</v>
      </c>
      <c r="M2" s="95"/>
      <c r="N2" s="96" t="s">
        <v>412</v>
      </c>
      <c r="O2" s="97"/>
      <c r="P2" s="95" t="s">
        <v>407</v>
      </c>
      <c r="Q2" s="95"/>
      <c r="R2" s="95" t="s">
        <v>408</v>
      </c>
      <c r="S2" s="95"/>
      <c r="T2" s="95" t="s">
        <v>413</v>
      </c>
      <c r="U2" s="95"/>
    </row>
    <row r="3" spans="1:21" ht="23.25" x14ac:dyDescent="0.25">
      <c r="A3" s="63" t="s">
        <v>378</v>
      </c>
      <c r="B3" s="54" t="s">
        <v>369</v>
      </c>
      <c r="C3" s="55" t="s">
        <v>372</v>
      </c>
      <c r="D3" s="50" t="s">
        <v>371</v>
      </c>
      <c r="E3" s="54" t="s">
        <v>374</v>
      </c>
      <c r="F3" s="57" t="s">
        <v>375</v>
      </c>
      <c r="G3" s="55" t="s">
        <v>376</v>
      </c>
      <c r="H3" s="54" t="s">
        <v>370</v>
      </c>
      <c r="I3" s="55" t="s">
        <v>373</v>
      </c>
      <c r="J3" s="54" t="s">
        <v>386</v>
      </c>
      <c r="K3" s="55" t="s">
        <v>381</v>
      </c>
      <c r="L3" s="54" t="s">
        <v>387</v>
      </c>
      <c r="M3" s="55" t="s">
        <v>388</v>
      </c>
      <c r="N3" s="54" t="s">
        <v>393</v>
      </c>
      <c r="O3" s="55" t="s">
        <v>394</v>
      </c>
      <c r="P3" s="54" t="s">
        <v>391</v>
      </c>
      <c r="Q3" s="55" t="s">
        <v>392</v>
      </c>
      <c r="R3" s="54" t="s">
        <v>399</v>
      </c>
      <c r="S3" s="55" t="s">
        <v>400</v>
      </c>
      <c r="T3" s="54" t="s">
        <v>401</v>
      </c>
      <c r="U3" s="55" t="s">
        <v>402</v>
      </c>
    </row>
    <row r="4" spans="1:21" ht="45" customHeight="1" x14ac:dyDescent="0.25">
      <c r="A4" s="51" t="s">
        <v>377</v>
      </c>
      <c r="B4" s="102" t="s">
        <v>380</v>
      </c>
      <c r="C4" s="103"/>
      <c r="D4" s="50" t="s">
        <v>365</v>
      </c>
      <c r="E4" s="102" t="s">
        <v>380</v>
      </c>
      <c r="F4" s="108"/>
      <c r="G4" s="103"/>
      <c r="H4" s="102" t="s">
        <v>380</v>
      </c>
      <c r="I4" s="103"/>
      <c r="J4" s="102" t="s">
        <v>380</v>
      </c>
      <c r="K4" s="103"/>
      <c r="L4" s="106" t="s">
        <v>403</v>
      </c>
      <c r="M4" s="105"/>
      <c r="N4" s="106" t="s">
        <v>397</v>
      </c>
      <c r="O4" s="107"/>
      <c r="P4" s="106" t="s">
        <v>398</v>
      </c>
      <c r="Q4" s="107"/>
      <c r="R4" s="102" t="s">
        <v>380</v>
      </c>
      <c r="S4" s="103"/>
      <c r="T4" s="102" t="s">
        <v>380</v>
      </c>
      <c r="U4" s="103"/>
    </row>
    <row r="5" spans="1:21" x14ac:dyDescent="0.25">
      <c r="A5" s="52" t="s">
        <v>383</v>
      </c>
      <c r="B5" s="102" t="s">
        <v>30</v>
      </c>
      <c r="C5" s="103"/>
      <c r="D5" s="50" t="s">
        <v>30</v>
      </c>
      <c r="E5" s="102" t="s">
        <v>30</v>
      </c>
      <c r="F5" s="108"/>
      <c r="G5" s="103"/>
      <c r="H5" s="102" t="s">
        <v>30</v>
      </c>
      <c r="I5" s="103"/>
      <c r="J5" s="104" t="s">
        <v>385</v>
      </c>
      <c r="K5" s="105"/>
      <c r="L5" s="104" t="s">
        <v>390</v>
      </c>
      <c r="M5" s="105"/>
      <c r="N5" s="104" t="s">
        <v>385</v>
      </c>
      <c r="O5" s="105"/>
      <c r="P5" s="104" t="s">
        <v>390</v>
      </c>
      <c r="Q5" s="105"/>
      <c r="R5" s="102" t="s">
        <v>30</v>
      </c>
      <c r="S5" s="103"/>
      <c r="T5" s="102" t="s">
        <v>30</v>
      </c>
      <c r="U5" s="103"/>
    </row>
    <row r="6" spans="1:21" x14ac:dyDescent="0.25">
      <c r="A6" s="52" t="s">
        <v>384</v>
      </c>
      <c r="B6" s="102" t="s">
        <v>30</v>
      </c>
      <c r="C6" s="103"/>
      <c r="D6" s="50" t="s">
        <v>30</v>
      </c>
      <c r="E6" s="102" t="s">
        <v>30</v>
      </c>
      <c r="F6" s="108"/>
      <c r="G6" s="103"/>
      <c r="H6" s="102" t="s">
        <v>30</v>
      </c>
      <c r="I6" s="103"/>
      <c r="J6" s="102" t="s">
        <v>174</v>
      </c>
      <c r="K6" s="103"/>
      <c r="L6" s="102" t="s">
        <v>30</v>
      </c>
      <c r="M6" s="103"/>
      <c r="N6" s="102" t="s">
        <v>174</v>
      </c>
      <c r="O6" s="103"/>
      <c r="P6" s="102" t="s">
        <v>30</v>
      </c>
      <c r="Q6" s="103"/>
      <c r="R6" s="102" t="s">
        <v>30</v>
      </c>
      <c r="S6" s="103"/>
      <c r="T6" s="102" t="s">
        <v>30</v>
      </c>
      <c r="U6" s="103"/>
    </row>
    <row r="7" spans="1:21" x14ac:dyDescent="0.25">
      <c r="A7" s="52" t="s">
        <v>379</v>
      </c>
      <c r="B7" s="54">
        <v>31</v>
      </c>
      <c r="C7" s="55">
        <v>31</v>
      </c>
      <c r="D7" s="50">
        <v>36</v>
      </c>
      <c r="E7" s="54">
        <v>26</v>
      </c>
      <c r="F7" s="57">
        <v>26</v>
      </c>
      <c r="G7" s="55">
        <v>26</v>
      </c>
      <c r="H7" s="54">
        <v>55</v>
      </c>
      <c r="I7" s="55">
        <v>55</v>
      </c>
      <c r="J7" s="54">
        <v>23</v>
      </c>
      <c r="K7" s="55">
        <v>23</v>
      </c>
      <c r="L7" s="59">
        <v>112</v>
      </c>
      <c r="M7" s="60">
        <v>112</v>
      </c>
      <c r="N7" s="54">
        <v>23</v>
      </c>
      <c r="O7" s="55">
        <v>23</v>
      </c>
      <c r="P7" s="59">
        <v>0</v>
      </c>
      <c r="Q7" s="60">
        <v>0</v>
      </c>
      <c r="R7" s="54">
        <v>26</v>
      </c>
      <c r="S7" s="55">
        <v>26</v>
      </c>
      <c r="T7" s="54">
        <v>24</v>
      </c>
      <c r="U7" s="55">
        <v>24</v>
      </c>
    </row>
    <row r="8" spans="1:21" x14ac:dyDescent="0.25">
      <c r="A8" s="52" t="s">
        <v>366</v>
      </c>
      <c r="B8" s="54" t="s">
        <v>365</v>
      </c>
      <c r="C8" s="55" t="s">
        <v>365</v>
      </c>
      <c r="D8" s="50" t="s">
        <v>365</v>
      </c>
      <c r="E8" s="54" t="s">
        <v>365</v>
      </c>
      <c r="F8" s="57" t="s">
        <v>365</v>
      </c>
      <c r="G8" s="55" t="s">
        <v>365</v>
      </c>
      <c r="H8" s="54" t="s">
        <v>365</v>
      </c>
      <c r="I8" s="55" t="s">
        <v>365</v>
      </c>
      <c r="J8" s="54" t="s">
        <v>365</v>
      </c>
      <c r="K8" s="55" t="s">
        <v>365</v>
      </c>
      <c r="L8" s="104" t="s">
        <v>395</v>
      </c>
      <c r="M8" s="105"/>
      <c r="N8" s="54" t="s">
        <v>365</v>
      </c>
      <c r="O8" s="55" t="s">
        <v>365</v>
      </c>
      <c r="P8" s="104" t="s">
        <v>389</v>
      </c>
      <c r="Q8" s="105"/>
      <c r="R8" s="54" t="s">
        <v>365</v>
      </c>
      <c r="S8" s="55" t="s">
        <v>365</v>
      </c>
      <c r="T8" s="54" t="s">
        <v>365</v>
      </c>
      <c r="U8" s="55" t="s">
        <v>365</v>
      </c>
    </row>
    <row r="9" spans="1:21" ht="45" x14ac:dyDescent="0.25">
      <c r="A9" s="52" t="s">
        <v>364</v>
      </c>
      <c r="B9" s="54" t="s">
        <v>365</v>
      </c>
      <c r="C9" s="56"/>
      <c r="D9" s="53"/>
      <c r="E9" s="54" t="s">
        <v>365</v>
      </c>
      <c r="F9" s="58"/>
      <c r="G9" s="55" t="s">
        <v>365</v>
      </c>
      <c r="H9" s="54" t="s">
        <v>365</v>
      </c>
      <c r="I9" s="56"/>
      <c r="J9" s="61" t="s">
        <v>382</v>
      </c>
      <c r="K9" s="56"/>
      <c r="L9" s="59" t="s">
        <v>365</v>
      </c>
      <c r="M9" s="62"/>
      <c r="N9" s="61" t="s">
        <v>396</v>
      </c>
      <c r="O9" s="56"/>
      <c r="P9" s="59" t="s">
        <v>389</v>
      </c>
      <c r="Q9" s="56"/>
      <c r="R9" s="54" t="s">
        <v>365</v>
      </c>
      <c r="S9" s="56"/>
      <c r="T9" s="54" t="s">
        <v>365</v>
      </c>
      <c r="U9" s="56"/>
    </row>
    <row r="10" spans="1:21" x14ac:dyDescent="0.25">
      <c r="A10" s="52" t="s">
        <v>367</v>
      </c>
      <c r="B10" s="54" t="s">
        <v>365</v>
      </c>
      <c r="C10" s="55" t="s">
        <v>365</v>
      </c>
      <c r="D10" s="50" t="s">
        <v>365</v>
      </c>
      <c r="E10" s="54" t="s">
        <v>365</v>
      </c>
      <c r="F10" s="57" t="s">
        <v>365</v>
      </c>
      <c r="G10" s="55" t="s">
        <v>365</v>
      </c>
      <c r="H10" s="54" t="s">
        <v>365</v>
      </c>
      <c r="I10" s="55" t="s">
        <v>365</v>
      </c>
      <c r="J10" s="59" t="s">
        <v>389</v>
      </c>
      <c r="K10" s="55" t="s">
        <v>365</v>
      </c>
      <c r="L10" s="59" t="s">
        <v>365</v>
      </c>
      <c r="M10" s="60" t="s">
        <v>365</v>
      </c>
      <c r="N10" s="59" t="s">
        <v>389</v>
      </c>
      <c r="O10" s="55" t="s">
        <v>365</v>
      </c>
      <c r="P10" s="59" t="s">
        <v>389</v>
      </c>
      <c r="Q10" s="60" t="s">
        <v>389</v>
      </c>
      <c r="R10" s="54" t="s">
        <v>365</v>
      </c>
      <c r="S10" s="55" t="s">
        <v>365</v>
      </c>
      <c r="T10" s="54" t="s">
        <v>365</v>
      </c>
      <c r="U10" s="55" t="s">
        <v>365</v>
      </c>
    </row>
    <row r="11" spans="1:21" x14ac:dyDescent="0.25">
      <c r="A11" s="52" t="s">
        <v>368</v>
      </c>
      <c r="B11" s="54" t="s">
        <v>365</v>
      </c>
      <c r="C11" s="55" t="s">
        <v>365</v>
      </c>
      <c r="D11" s="50" t="s">
        <v>365</v>
      </c>
      <c r="E11" s="54" t="s">
        <v>365</v>
      </c>
      <c r="F11" s="57" t="s">
        <v>365</v>
      </c>
      <c r="G11" s="55" t="s">
        <v>365</v>
      </c>
      <c r="H11" s="54" t="s">
        <v>365</v>
      </c>
      <c r="I11" s="55" t="s">
        <v>365</v>
      </c>
      <c r="J11" s="59" t="s">
        <v>389</v>
      </c>
      <c r="K11" s="55" t="s">
        <v>365</v>
      </c>
      <c r="L11" s="59" t="s">
        <v>365</v>
      </c>
      <c r="M11" s="60" t="s">
        <v>365</v>
      </c>
      <c r="N11" s="59" t="s">
        <v>389</v>
      </c>
      <c r="O11" s="55" t="s">
        <v>365</v>
      </c>
      <c r="P11" s="59" t="s">
        <v>389</v>
      </c>
      <c r="Q11" s="60" t="s">
        <v>389</v>
      </c>
      <c r="R11" s="54" t="s">
        <v>365</v>
      </c>
      <c r="S11" s="55" t="s">
        <v>365</v>
      </c>
      <c r="T11" s="54" t="s">
        <v>365</v>
      </c>
      <c r="U11" s="55" t="s">
        <v>365</v>
      </c>
    </row>
    <row r="12" spans="1:21" x14ac:dyDescent="0.25">
      <c r="T12" s="98" t="s">
        <v>414</v>
      </c>
      <c r="U12" s="99"/>
    </row>
    <row r="13" spans="1:21" ht="43.5" customHeight="1" x14ac:dyDescent="0.25">
      <c r="T13" s="100"/>
      <c r="U13" s="101"/>
    </row>
  </sheetData>
  <mergeCells count="39">
    <mergeCell ref="B6:C6"/>
    <mergeCell ref="E6:G6"/>
    <mergeCell ref="H6:I6"/>
    <mergeCell ref="J6:K6"/>
    <mergeCell ref="L4:M4"/>
    <mergeCell ref="L5:M5"/>
    <mergeCell ref="L6:M6"/>
    <mergeCell ref="B4:C4"/>
    <mergeCell ref="E4:G4"/>
    <mergeCell ref="H4:I4"/>
    <mergeCell ref="J4:K4"/>
    <mergeCell ref="B5:C5"/>
    <mergeCell ref="E5:G5"/>
    <mergeCell ref="H5:I5"/>
    <mergeCell ref="J5:K5"/>
    <mergeCell ref="L8:M8"/>
    <mergeCell ref="P4:Q4"/>
    <mergeCell ref="P5:Q5"/>
    <mergeCell ref="P6:Q6"/>
    <mergeCell ref="P8:Q8"/>
    <mergeCell ref="N4:O4"/>
    <mergeCell ref="N5:O5"/>
    <mergeCell ref="N6:O6"/>
    <mergeCell ref="R2:S2"/>
    <mergeCell ref="N2:O2"/>
    <mergeCell ref="T12:U13"/>
    <mergeCell ref="B2:C2"/>
    <mergeCell ref="E2:G2"/>
    <mergeCell ref="H2:I2"/>
    <mergeCell ref="J2:K2"/>
    <mergeCell ref="L2:M2"/>
    <mergeCell ref="T2:U2"/>
    <mergeCell ref="P2:Q2"/>
    <mergeCell ref="R4:S4"/>
    <mergeCell ref="R5:S5"/>
    <mergeCell ref="R6:S6"/>
    <mergeCell ref="T4:U4"/>
    <mergeCell ref="T5:U5"/>
    <mergeCell ref="T6:U6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FS_referentiel_produits_std_Hon</vt:lpstr>
      <vt:lpstr>FS_referentiel_produits_std_Ver</vt:lpstr>
      <vt:lpstr>CABINES</vt:lpstr>
      <vt:lpstr>MOTEURS</vt:lpstr>
      <vt:lpstr>CHASSIS</vt:lpstr>
      <vt:lpstr>CAISSES</vt:lpstr>
      <vt:lpstr>FRIGO</vt:lpstr>
      <vt:lpstr>HAYONS</vt:lpstr>
      <vt:lpstr>Energie Alter</vt:lpstr>
      <vt:lpstr>Synth NCEE</vt:lpstr>
    </vt:vector>
  </TitlesOfParts>
  <Company>Petit Forestier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Telmo MARTINS</dc:creator>
  <cp:lastModifiedBy>Hiba TACHFINE</cp:lastModifiedBy>
  <cp:lastPrinted>2022-02-21T14:47:35Z</cp:lastPrinted>
  <dcterms:created xsi:type="dcterms:W3CDTF">2015-01-23T06:33:12Z</dcterms:created>
  <dcterms:modified xsi:type="dcterms:W3CDTF">2025-11-18T09:51:56Z</dcterms:modified>
</cp:coreProperties>
</file>